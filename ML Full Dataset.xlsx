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<sst xmlns="http://schemas.openxmlformats.org/spreadsheetml/2006/main" count="196" uniqueCount="36">
  <si>
    <t>Year</t>
  </si>
  <si>
    <t>State</t>
  </si>
  <si>
    <t>Area</t>
  </si>
  <si>
    <t>Domestic Visitor('000)</t>
  </si>
  <si>
    <t>Domestic Visitor</t>
  </si>
  <si>
    <t>Y_Tourist Density</t>
  </si>
  <si>
    <t>Airport count</t>
  </si>
  <si>
    <t>ktmb station</t>
  </si>
  <si>
    <t>Count of Bus station</t>
  </si>
  <si>
    <t>Total public transport station</t>
  </si>
  <si>
    <t>X1_interstate transit hub density</t>
  </si>
  <si>
    <t>X2_Top5 Digital Polarization Index (HHI)</t>
  </si>
  <si>
    <t>X3_Yearly_Average_Score_by_State</t>
  </si>
  <si>
    <t>No of hotel room</t>
  </si>
  <si>
    <t>No of homestay</t>
  </si>
  <si>
    <t>Total number of accommodation</t>
  </si>
  <si>
    <t>X4_Accommodation_Capacity_Density</t>
  </si>
  <si>
    <t>GDP_by_State (RM Million)</t>
  </si>
  <si>
    <t>population</t>
  </si>
  <si>
    <t>X5_GDP per Capita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</si>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</sst>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0_);[Red]\(0.00\)"/>
    <numFmt numFmtId="181" formatCode="_(* #,##0_);_(* \(#,##0\);_(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Font="1" applyFill="1" applyAlignment="1"/>
    <xf numFmtId="181" fontId="0" fillId="0" borderId="0" xfId="1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7"/>
  <sheetViews>
    <sheetView tabSelected="1" zoomScale="77" zoomScaleNormal="77" topLeftCell="A61" workbookViewId="0">
      <selection activeCell="B51" sqref="B51"/>
    </sheetView>
  </sheetViews>
  <sheetFormatPr defaultColWidth="8.88888888888889" defaultRowHeight="14.4"/>
  <cols>
    <col min="2" max="2" width="18" customWidth="1"/>
    <col min="3" max="3" width="17.8888888888889" customWidth="1"/>
    <col min="4" max="4" width="19.4444444444444" customWidth="1"/>
    <col min="5" max="5" width="16.4444444444444" customWidth="1"/>
    <col min="6" max="6" width="14.3333333333333" customWidth="1"/>
    <col min="7" max="7" width="17.4444444444444" customWidth="1"/>
    <col min="8" max="8" width="17.8888888888889" customWidth="1"/>
    <col min="9" max="9" width="19.8888888888889" customWidth="1"/>
    <col min="10" max="11" width="31.1111111111111" customWidth="1"/>
    <col min="12" max="13" width="31.2222222222222" customWidth="1"/>
    <col min="14" max="15" width="26.7777777777778" customWidth="1"/>
    <col min="16" max="16" width="32.1666666666667" customWidth="1"/>
    <col min="17" max="17" width="26.7777777777778" customWidth="1"/>
    <col min="18" max="18" width="26.7777777777778" style="1" customWidth="1"/>
    <col min="19" max="19" width="8.88888888888889" customWidth="1"/>
    <col min="20" max="20" width="12.8888888888889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</row>
    <row r="2" spans="1:20">
      <c r="A2">
        <v>2015</v>
      </c>
      <c r="B2" t="s">
        <v>20</v>
      </c>
      <c r="C2">
        <v>19210</v>
      </c>
      <c r="D2" s="3">
        <v>11589</v>
      </c>
      <c r="E2">
        <f>D2*1000</f>
        <v>11589000</v>
      </c>
      <c r="F2">
        <f>E2/C2</f>
        <v>603.279541905258</v>
      </c>
      <c r="I2">
        <v>22</v>
      </c>
      <c r="R2" s="1">
        <v>110002.221</v>
      </c>
      <c r="S2">
        <v>3610300</v>
      </c>
      <c r="T2">
        <v>30468.99731</v>
      </c>
    </row>
    <row r="3" spans="1:20">
      <c r="A3">
        <v>2015</v>
      </c>
      <c r="B3" t="s">
        <v>21</v>
      </c>
      <c r="C3">
        <v>9427</v>
      </c>
      <c r="D3" s="3">
        <v>12425</v>
      </c>
      <c r="E3">
        <f t="shared" ref="E3:E34" si="0">D3*1000</f>
        <v>12425000</v>
      </c>
      <c r="F3">
        <f t="shared" ref="F3:F34" si="1">E3/C3</f>
        <v>1318.02270075316</v>
      </c>
      <c r="I3">
        <v>8</v>
      </c>
      <c r="R3" s="1">
        <v>39549.581</v>
      </c>
      <c r="S3">
        <v>2096500</v>
      </c>
      <c r="T3">
        <v>18864.57477</v>
      </c>
    </row>
    <row r="4" spans="1:20">
      <c r="A4">
        <v>2015</v>
      </c>
      <c r="B4" t="s">
        <v>22</v>
      </c>
      <c r="C4">
        <v>15099</v>
      </c>
      <c r="D4" s="3">
        <v>9070</v>
      </c>
      <c r="E4">
        <f t="shared" si="0"/>
        <v>9070000</v>
      </c>
      <c r="F4">
        <f t="shared" si="1"/>
        <v>600.702033247235</v>
      </c>
      <c r="I4">
        <v>7</v>
      </c>
      <c r="R4" s="1">
        <v>21407.736</v>
      </c>
      <c r="S4">
        <v>1760600</v>
      </c>
      <c r="T4">
        <v>12159.34113</v>
      </c>
    </row>
    <row r="5" spans="1:20">
      <c r="A5">
        <v>2015</v>
      </c>
      <c r="B5" t="s">
        <v>23</v>
      </c>
      <c r="C5">
        <v>1720</v>
      </c>
      <c r="D5" s="3">
        <v>11552</v>
      </c>
      <c r="E5">
        <f t="shared" si="0"/>
        <v>11552000</v>
      </c>
      <c r="F5">
        <f t="shared" si="1"/>
        <v>6716.27906976744</v>
      </c>
      <c r="I5">
        <v>2</v>
      </c>
      <c r="R5" s="1">
        <v>36077.257</v>
      </c>
      <c r="S5">
        <v>889000</v>
      </c>
      <c r="T5">
        <v>40581.84139</v>
      </c>
    </row>
    <row r="6" spans="1:20">
      <c r="A6">
        <v>2015</v>
      </c>
      <c r="B6" t="s">
        <v>24</v>
      </c>
      <c r="C6">
        <v>6686</v>
      </c>
      <c r="D6" s="3">
        <v>9984</v>
      </c>
      <c r="E6">
        <f t="shared" si="0"/>
        <v>9984000</v>
      </c>
      <c r="F6">
        <f t="shared" si="1"/>
        <v>1493.26951839665</v>
      </c>
      <c r="I6">
        <v>5</v>
      </c>
      <c r="R6" s="1">
        <v>40185.677</v>
      </c>
      <c r="S6">
        <v>1088800</v>
      </c>
      <c r="T6">
        <v>36908.22649</v>
      </c>
    </row>
    <row r="7" spans="1:20">
      <c r="A7">
        <v>2015</v>
      </c>
      <c r="B7" t="s">
        <v>25</v>
      </c>
      <c r="C7">
        <v>35965</v>
      </c>
      <c r="D7" s="3">
        <v>14398</v>
      </c>
      <c r="E7">
        <f t="shared" si="0"/>
        <v>14398000</v>
      </c>
      <c r="F7">
        <f t="shared" si="1"/>
        <v>400.333657722786</v>
      </c>
      <c r="I7">
        <v>13</v>
      </c>
      <c r="R7" s="1">
        <v>49449.712</v>
      </c>
      <c r="S7">
        <v>1607900</v>
      </c>
      <c r="T7">
        <v>30754.22103</v>
      </c>
    </row>
    <row r="8" spans="1:20">
      <c r="A8">
        <v>2015</v>
      </c>
      <c r="B8" t="s">
        <v>26</v>
      </c>
      <c r="C8">
        <v>1031</v>
      </c>
      <c r="D8" s="3">
        <v>9341</v>
      </c>
      <c r="E8">
        <f t="shared" si="0"/>
        <v>9341000</v>
      </c>
      <c r="F8">
        <f t="shared" si="1"/>
        <v>9060.13579049467</v>
      </c>
      <c r="I8">
        <v>3</v>
      </c>
      <c r="R8" s="1">
        <v>78146.215</v>
      </c>
      <c r="S8">
        <v>1698100</v>
      </c>
      <c r="T8">
        <v>46019.79565</v>
      </c>
    </row>
    <row r="9" spans="1:20">
      <c r="A9">
        <v>2015</v>
      </c>
      <c r="B9" t="s">
        <v>27</v>
      </c>
      <c r="C9">
        <v>21035</v>
      </c>
      <c r="D9" s="3">
        <v>15966</v>
      </c>
      <c r="E9">
        <f t="shared" si="0"/>
        <v>15966000</v>
      </c>
      <c r="F9">
        <f t="shared" si="1"/>
        <v>759.020679819349</v>
      </c>
      <c r="I9">
        <v>12</v>
      </c>
      <c r="R9" s="1">
        <v>63175.555</v>
      </c>
      <c r="S9" s="4">
        <v>2466900</v>
      </c>
      <c r="T9">
        <v>25609.28899</v>
      </c>
    </row>
    <row r="10" spans="1:20">
      <c r="A10">
        <v>2015</v>
      </c>
      <c r="B10" t="s">
        <v>28</v>
      </c>
      <c r="C10">
        <v>821</v>
      </c>
      <c r="D10" s="3">
        <v>1410</v>
      </c>
      <c r="E10">
        <f t="shared" si="0"/>
        <v>1410000</v>
      </c>
      <c r="F10">
        <f t="shared" si="1"/>
        <v>1717.41778319123</v>
      </c>
      <c r="I10">
        <v>2</v>
      </c>
      <c r="R10" s="1">
        <v>5352.875</v>
      </c>
      <c r="S10" s="4">
        <v>248500</v>
      </c>
      <c r="T10">
        <v>21540.74447</v>
      </c>
    </row>
    <row r="11" spans="1:20">
      <c r="A11">
        <v>2015</v>
      </c>
      <c r="B11" t="s">
        <v>29</v>
      </c>
      <c r="C11">
        <v>8104</v>
      </c>
      <c r="D11" s="3">
        <v>22063</v>
      </c>
      <c r="E11">
        <f t="shared" si="0"/>
        <v>22063000</v>
      </c>
      <c r="F11">
        <f t="shared" si="1"/>
        <v>2722.48272458045</v>
      </c>
      <c r="I11">
        <v>8</v>
      </c>
      <c r="R11" s="1">
        <v>268824.995</v>
      </c>
      <c r="S11">
        <v>6178000</v>
      </c>
      <c r="T11">
        <v>43513.27209</v>
      </c>
    </row>
    <row r="12" spans="1:20">
      <c r="A12">
        <v>2015</v>
      </c>
      <c r="B12" t="s">
        <v>30</v>
      </c>
      <c r="C12">
        <v>12955</v>
      </c>
      <c r="D12" s="3">
        <v>11483</v>
      </c>
      <c r="E12">
        <f t="shared" si="0"/>
        <v>11483000</v>
      </c>
      <c r="F12">
        <f t="shared" si="1"/>
        <v>886.375916634504</v>
      </c>
      <c r="I12">
        <v>6</v>
      </c>
      <c r="R12" s="1">
        <v>31124.445</v>
      </c>
      <c r="S12">
        <v>1161000</v>
      </c>
      <c r="T12">
        <v>26808.30749</v>
      </c>
    </row>
    <row r="13" spans="1:20">
      <c r="A13">
        <v>2015</v>
      </c>
      <c r="B13" t="s">
        <v>31</v>
      </c>
      <c r="C13">
        <v>76115</v>
      </c>
      <c r="D13" s="3">
        <v>15722</v>
      </c>
      <c r="E13">
        <f t="shared" si="0"/>
        <v>15722000</v>
      </c>
      <c r="F13">
        <f t="shared" si="1"/>
        <v>206.555869408132</v>
      </c>
      <c r="I13">
        <v>3</v>
      </c>
      <c r="R13" s="1">
        <v>73776.128</v>
      </c>
      <c r="S13">
        <v>3720500</v>
      </c>
      <c r="T13">
        <v>19829.6272</v>
      </c>
    </row>
    <row r="14" spans="1:20">
      <c r="A14">
        <v>2015</v>
      </c>
      <c r="B14" t="s">
        <v>32</v>
      </c>
      <c r="C14">
        <v>124450</v>
      </c>
      <c r="D14" s="3">
        <v>15355</v>
      </c>
      <c r="E14">
        <f t="shared" si="0"/>
        <v>15355000</v>
      </c>
      <c r="F14">
        <f t="shared" si="1"/>
        <v>123.382884692648</v>
      </c>
      <c r="I14">
        <v>3</v>
      </c>
      <c r="R14" s="1">
        <v>121585.277</v>
      </c>
      <c r="S14">
        <v>2701500</v>
      </c>
      <c r="T14">
        <v>45006.58042</v>
      </c>
    </row>
    <row r="15" spans="1:20">
      <c r="A15">
        <v>2015</v>
      </c>
      <c r="B15" t="s">
        <v>33</v>
      </c>
      <c r="C15">
        <v>243</v>
      </c>
      <c r="D15" s="3">
        <v>15080</v>
      </c>
      <c r="E15">
        <f t="shared" si="0"/>
        <v>15080000</v>
      </c>
      <c r="F15">
        <f t="shared" si="1"/>
        <v>62057.6131687243</v>
      </c>
      <c r="I15">
        <v>8</v>
      </c>
      <c r="R15" s="1">
        <v>172808.430179456</v>
      </c>
      <c r="S15">
        <v>1780400</v>
      </c>
      <c r="T15">
        <v>97061.57615</v>
      </c>
    </row>
    <row r="16" spans="1:20">
      <c r="A16">
        <v>2015</v>
      </c>
      <c r="B16" t="s">
        <v>34</v>
      </c>
      <c r="C16">
        <v>91.64</v>
      </c>
      <c r="D16" s="3">
        <v>310</v>
      </c>
      <c r="E16">
        <f t="shared" si="0"/>
        <v>310000</v>
      </c>
      <c r="F16">
        <f t="shared" si="1"/>
        <v>3382.8022697512</v>
      </c>
      <c r="I16">
        <v>1</v>
      </c>
      <c r="R16" s="1">
        <v>5999.225</v>
      </c>
      <c r="S16">
        <v>95100</v>
      </c>
      <c r="T16">
        <v>63083.33333</v>
      </c>
    </row>
    <row r="17" spans="1:20">
      <c r="A17">
        <v>2015</v>
      </c>
      <c r="B17" t="s">
        <v>35</v>
      </c>
      <c r="C17">
        <v>49</v>
      </c>
      <c r="D17" s="3">
        <v>1188</v>
      </c>
      <c r="E17">
        <f t="shared" si="0"/>
        <v>1188000</v>
      </c>
      <c r="F17">
        <f t="shared" si="1"/>
        <v>24244.8979591837</v>
      </c>
      <c r="I17">
        <v>1</v>
      </c>
      <c r="R17" s="1">
        <v>8056.11082054309</v>
      </c>
      <c r="S17">
        <v>83000</v>
      </c>
      <c r="T17">
        <v>97061.57615</v>
      </c>
    </row>
    <row r="18" spans="1:20">
      <c r="A18">
        <v>2016</v>
      </c>
      <c r="B18" t="s">
        <v>20</v>
      </c>
      <c r="C18">
        <v>19210</v>
      </c>
      <c r="D18">
        <v>12207</v>
      </c>
      <c r="E18">
        <f t="shared" si="0"/>
        <v>12207000</v>
      </c>
      <c r="F18">
        <f t="shared" si="1"/>
        <v>635.450286309214</v>
      </c>
      <c r="I18">
        <v>24</v>
      </c>
      <c r="R18" s="1">
        <v>116682.227</v>
      </c>
      <c r="S18">
        <v>3651800</v>
      </c>
      <c r="T18">
        <v>31951.97629</v>
      </c>
    </row>
    <row r="19" spans="1:20">
      <c r="A19">
        <v>2016</v>
      </c>
      <c r="B19" t="s">
        <v>21</v>
      </c>
      <c r="C19">
        <v>9427</v>
      </c>
      <c r="D19">
        <v>13188</v>
      </c>
      <c r="E19">
        <f t="shared" si="0"/>
        <v>13188000</v>
      </c>
      <c r="F19">
        <f t="shared" si="1"/>
        <v>1398.96043279941</v>
      </c>
      <c r="I19">
        <v>8</v>
      </c>
      <c r="R19" s="1">
        <v>41155.715</v>
      </c>
      <c r="S19">
        <v>2119700</v>
      </c>
      <c r="T19">
        <v>19415.82063</v>
      </c>
    </row>
    <row r="20" spans="1:20">
      <c r="A20">
        <v>2016</v>
      </c>
      <c r="B20" t="s">
        <v>22</v>
      </c>
      <c r="C20">
        <v>15099</v>
      </c>
      <c r="D20">
        <v>8646</v>
      </c>
      <c r="E20">
        <f t="shared" si="0"/>
        <v>8646000</v>
      </c>
      <c r="F20">
        <f t="shared" si="1"/>
        <v>572.620703357838</v>
      </c>
      <c r="I20">
        <v>7</v>
      </c>
      <c r="R20" s="1">
        <v>22475.73</v>
      </c>
      <c r="S20">
        <v>1796700</v>
      </c>
      <c r="T20">
        <v>12509.45066</v>
      </c>
    </row>
    <row r="21" spans="1:20">
      <c r="A21">
        <v>2016</v>
      </c>
      <c r="B21" t="s">
        <v>23</v>
      </c>
      <c r="C21">
        <v>1720</v>
      </c>
      <c r="D21">
        <v>12268</v>
      </c>
      <c r="E21">
        <f t="shared" si="0"/>
        <v>12268000</v>
      </c>
      <c r="F21">
        <f t="shared" si="1"/>
        <v>7132.55813953488</v>
      </c>
      <c r="I21">
        <v>2</v>
      </c>
      <c r="R21" s="1">
        <v>37712.736</v>
      </c>
      <c r="S21">
        <v>901100</v>
      </c>
      <c r="T21">
        <v>41851.88769</v>
      </c>
    </row>
    <row r="22" spans="1:20">
      <c r="A22">
        <v>2016</v>
      </c>
      <c r="B22" t="s">
        <v>24</v>
      </c>
      <c r="C22">
        <v>6686</v>
      </c>
      <c r="D22">
        <v>10130</v>
      </c>
      <c r="E22">
        <f t="shared" si="0"/>
        <v>10130000</v>
      </c>
      <c r="F22">
        <f t="shared" si="1"/>
        <v>1515.10619204307</v>
      </c>
      <c r="I22">
        <v>5</v>
      </c>
      <c r="R22" s="1">
        <v>41771.246</v>
      </c>
      <c r="S22">
        <v>1099300</v>
      </c>
      <c r="T22">
        <v>37998.04057</v>
      </c>
    </row>
    <row r="23" spans="1:20">
      <c r="A23">
        <v>2016</v>
      </c>
      <c r="B23" t="s">
        <v>25</v>
      </c>
      <c r="C23">
        <v>35965</v>
      </c>
      <c r="D23">
        <v>14168</v>
      </c>
      <c r="E23">
        <f t="shared" si="0"/>
        <v>14168000</v>
      </c>
      <c r="F23">
        <f t="shared" si="1"/>
        <v>393.938551369387</v>
      </c>
      <c r="I23">
        <v>13</v>
      </c>
      <c r="R23" s="1">
        <v>50875.222</v>
      </c>
      <c r="S23">
        <v>1626700</v>
      </c>
      <c r="T23">
        <v>31275.11035</v>
      </c>
    </row>
    <row r="24" spans="1:20">
      <c r="A24">
        <v>2016</v>
      </c>
      <c r="B24" t="s">
        <v>26</v>
      </c>
      <c r="C24">
        <v>1031</v>
      </c>
      <c r="D24">
        <v>12565</v>
      </c>
      <c r="E24">
        <f t="shared" si="0"/>
        <v>12565000</v>
      </c>
      <c r="F24">
        <f t="shared" si="1"/>
        <v>12187.1968962173</v>
      </c>
      <c r="I24">
        <v>3</v>
      </c>
      <c r="R24" s="1">
        <v>82493.279</v>
      </c>
      <c r="S24">
        <v>1717700</v>
      </c>
      <c r="T24">
        <v>48025.42877</v>
      </c>
    </row>
    <row r="25" spans="1:20">
      <c r="A25">
        <v>2016</v>
      </c>
      <c r="B25" t="s">
        <v>27</v>
      </c>
      <c r="C25">
        <v>21035</v>
      </c>
      <c r="D25">
        <v>16783</v>
      </c>
      <c r="E25">
        <f t="shared" si="0"/>
        <v>16783000</v>
      </c>
      <c r="F25">
        <f t="shared" si="1"/>
        <v>797.860708343237</v>
      </c>
      <c r="I25">
        <v>12</v>
      </c>
      <c r="R25" s="1">
        <v>65958.409</v>
      </c>
      <c r="S25">
        <v>2482100</v>
      </c>
      <c r="T25">
        <v>26573.6308</v>
      </c>
    </row>
    <row r="26" spans="1:20">
      <c r="A26">
        <v>2016</v>
      </c>
      <c r="B26" t="s">
        <v>28</v>
      </c>
      <c r="C26">
        <v>821</v>
      </c>
      <c r="D26">
        <v>1410</v>
      </c>
      <c r="E26">
        <f t="shared" si="0"/>
        <v>1410000</v>
      </c>
      <c r="F26">
        <f t="shared" si="1"/>
        <v>1717.41778319123</v>
      </c>
      <c r="I26">
        <v>2</v>
      </c>
      <c r="R26" s="1">
        <v>5569.584</v>
      </c>
      <c r="S26">
        <v>251000</v>
      </c>
      <c r="T26">
        <v>22189.57769</v>
      </c>
    </row>
    <row r="27" spans="1:20">
      <c r="A27">
        <v>2016</v>
      </c>
      <c r="B27" t="s">
        <v>29</v>
      </c>
      <c r="C27">
        <v>8104</v>
      </c>
      <c r="D27">
        <v>24124</v>
      </c>
      <c r="E27">
        <f t="shared" si="0"/>
        <v>24124000</v>
      </c>
      <c r="F27">
        <f t="shared" si="1"/>
        <v>2976.80157946693</v>
      </c>
      <c r="I27">
        <v>8</v>
      </c>
      <c r="R27" s="1">
        <v>281838.865</v>
      </c>
      <c r="S27">
        <v>6291500</v>
      </c>
      <c r="T27">
        <v>44796.76786</v>
      </c>
    </row>
    <row r="28" spans="1:20">
      <c r="A28">
        <v>2016</v>
      </c>
      <c r="B28" t="s">
        <v>30</v>
      </c>
      <c r="C28">
        <v>12955</v>
      </c>
      <c r="D28">
        <v>12010</v>
      </c>
      <c r="E28">
        <f t="shared" si="0"/>
        <v>12010000</v>
      </c>
      <c r="F28">
        <f t="shared" si="1"/>
        <v>927.055191045928</v>
      </c>
      <c r="I28">
        <v>6</v>
      </c>
      <c r="R28" s="1">
        <v>32133.081</v>
      </c>
      <c r="S28">
        <v>1183400</v>
      </c>
      <c r="T28">
        <v>27153.18658</v>
      </c>
    </row>
    <row r="29" spans="1:20">
      <c r="A29">
        <v>2016</v>
      </c>
      <c r="B29" t="s">
        <v>31</v>
      </c>
      <c r="C29">
        <v>76115</v>
      </c>
      <c r="D29">
        <v>16518</v>
      </c>
      <c r="E29">
        <f t="shared" si="0"/>
        <v>16518000</v>
      </c>
      <c r="F29">
        <f t="shared" si="1"/>
        <v>217.013729225514</v>
      </c>
      <c r="I29">
        <v>3</v>
      </c>
      <c r="R29" s="1">
        <v>77518.046</v>
      </c>
      <c r="S29">
        <v>3802800</v>
      </c>
      <c r="T29">
        <v>20384.46566</v>
      </c>
    </row>
    <row r="30" spans="1:20">
      <c r="A30">
        <v>2016</v>
      </c>
      <c r="B30" t="s">
        <v>32</v>
      </c>
      <c r="C30">
        <v>124450</v>
      </c>
      <c r="D30">
        <v>16282</v>
      </c>
      <c r="E30">
        <f t="shared" si="0"/>
        <v>16282000</v>
      </c>
      <c r="F30">
        <f t="shared" si="1"/>
        <v>130.831659300924</v>
      </c>
      <c r="I30">
        <v>3</v>
      </c>
      <c r="R30" s="1">
        <v>124512.946</v>
      </c>
      <c r="S30">
        <v>2738700</v>
      </c>
      <c r="T30">
        <v>45464.25165</v>
      </c>
    </row>
    <row r="31" spans="1:20">
      <c r="A31">
        <v>2016</v>
      </c>
      <c r="B31" t="s">
        <v>33</v>
      </c>
      <c r="C31">
        <v>243</v>
      </c>
      <c r="D31">
        <v>16784</v>
      </c>
      <c r="E31">
        <f t="shared" si="0"/>
        <v>16784000</v>
      </c>
      <c r="F31">
        <f t="shared" si="1"/>
        <v>69069.9588477366</v>
      </c>
      <c r="I31">
        <v>8</v>
      </c>
      <c r="R31" s="1">
        <v>183010.442801611</v>
      </c>
      <c r="S31">
        <v>1789700</v>
      </c>
      <c r="T31">
        <v>102257.60899</v>
      </c>
    </row>
    <row r="32" spans="1:20">
      <c r="A32">
        <v>2016</v>
      </c>
      <c r="B32" t="s">
        <v>34</v>
      </c>
      <c r="C32">
        <v>91.64</v>
      </c>
      <c r="D32">
        <v>354</v>
      </c>
      <c r="E32">
        <f t="shared" si="0"/>
        <v>354000</v>
      </c>
      <c r="F32">
        <f t="shared" si="1"/>
        <v>3862.94194674814</v>
      </c>
      <c r="I32">
        <v>1</v>
      </c>
      <c r="R32" s="1">
        <v>6412.031</v>
      </c>
      <c r="S32">
        <v>96800</v>
      </c>
      <c r="T32">
        <v>66239.98967</v>
      </c>
    </row>
    <row r="33" spans="1:20">
      <c r="A33">
        <v>2016</v>
      </c>
      <c r="B33" t="s">
        <v>35</v>
      </c>
      <c r="C33">
        <v>49</v>
      </c>
      <c r="D33">
        <v>1816</v>
      </c>
      <c r="E33">
        <f t="shared" si="0"/>
        <v>1816000</v>
      </c>
      <c r="F33">
        <f t="shared" si="1"/>
        <v>37061.2244897959</v>
      </c>
      <c r="I33">
        <v>1</v>
      </c>
      <c r="R33" s="1">
        <v>8630.54219838855</v>
      </c>
      <c r="S33">
        <v>84400</v>
      </c>
      <c r="T33">
        <v>102257.60899</v>
      </c>
    </row>
    <row r="34" spans="1:20">
      <c r="A34">
        <v>2017</v>
      </c>
      <c r="B34" t="s">
        <v>20</v>
      </c>
      <c r="C34">
        <v>19210</v>
      </c>
      <c r="D34">
        <v>13141</v>
      </c>
      <c r="E34">
        <f t="shared" si="0"/>
        <v>13141000</v>
      </c>
      <c r="F34">
        <f t="shared" si="1"/>
        <v>684.070796460177</v>
      </c>
      <c r="I34">
        <v>24</v>
      </c>
      <c r="R34" s="1">
        <v>123561.327</v>
      </c>
      <c r="S34">
        <v>3697000</v>
      </c>
      <c r="T34">
        <v>33422.0522</v>
      </c>
    </row>
    <row r="35" spans="1:20">
      <c r="A35">
        <v>2017</v>
      </c>
      <c r="B35" t="s">
        <v>21</v>
      </c>
      <c r="C35">
        <v>9427</v>
      </c>
      <c r="D35">
        <v>13305</v>
      </c>
      <c r="E35">
        <f t="shared" ref="E35:E66" si="2">D35*1000</f>
        <v>13305000</v>
      </c>
      <c r="F35">
        <f t="shared" ref="F35:F66" si="3">E35/C35</f>
        <v>1411.37159223507</v>
      </c>
      <c r="I35">
        <v>8</v>
      </c>
      <c r="R35" s="1">
        <v>43066.583</v>
      </c>
      <c r="S35">
        <v>2143900</v>
      </c>
      <c r="T35">
        <v>20087.96259</v>
      </c>
    </row>
    <row r="36" spans="1:20">
      <c r="A36">
        <v>2017</v>
      </c>
      <c r="B36" t="s">
        <v>22</v>
      </c>
      <c r="C36">
        <v>15099</v>
      </c>
      <c r="D36">
        <v>9624</v>
      </c>
      <c r="E36">
        <f t="shared" si="2"/>
        <v>9624000</v>
      </c>
      <c r="F36">
        <f t="shared" si="3"/>
        <v>637.393204848003</v>
      </c>
      <c r="I36">
        <v>7</v>
      </c>
      <c r="R36" s="1">
        <v>23501.175</v>
      </c>
      <c r="S36">
        <v>1829000</v>
      </c>
      <c r="T36">
        <v>12849.19355</v>
      </c>
    </row>
    <row r="37" spans="1:20">
      <c r="A37">
        <v>2017</v>
      </c>
      <c r="B37" t="s">
        <v>23</v>
      </c>
      <c r="C37">
        <v>1720</v>
      </c>
      <c r="D37">
        <v>12625</v>
      </c>
      <c r="E37">
        <f t="shared" si="2"/>
        <v>12625000</v>
      </c>
      <c r="F37">
        <f t="shared" si="3"/>
        <v>7340.11627906977</v>
      </c>
      <c r="I37">
        <v>2</v>
      </c>
      <c r="R37" s="1">
        <v>40829.986</v>
      </c>
      <c r="S37">
        <v>913100</v>
      </c>
      <c r="T37">
        <v>44715.78798</v>
      </c>
    </row>
    <row r="38" spans="1:20">
      <c r="A38">
        <v>2017</v>
      </c>
      <c r="B38" t="s">
        <v>24</v>
      </c>
      <c r="C38">
        <v>6686</v>
      </c>
      <c r="D38">
        <v>10822</v>
      </c>
      <c r="E38">
        <f t="shared" si="2"/>
        <v>10822000</v>
      </c>
      <c r="F38">
        <f t="shared" si="3"/>
        <v>1618.60604247682</v>
      </c>
      <c r="I38">
        <v>5</v>
      </c>
      <c r="R38" s="1">
        <v>43815.729</v>
      </c>
      <c r="S38">
        <v>1114000</v>
      </c>
      <c r="T38">
        <v>39331.89318</v>
      </c>
    </row>
    <row r="39" spans="1:20">
      <c r="A39">
        <v>2017</v>
      </c>
      <c r="B39" t="s">
        <v>25</v>
      </c>
      <c r="C39">
        <v>35965</v>
      </c>
      <c r="D39">
        <v>16491</v>
      </c>
      <c r="E39">
        <f t="shared" si="2"/>
        <v>16491000</v>
      </c>
      <c r="F39">
        <f t="shared" si="3"/>
        <v>458.529125538718</v>
      </c>
      <c r="I39">
        <v>16</v>
      </c>
      <c r="R39" s="1">
        <v>54591.139</v>
      </c>
      <c r="S39">
        <v>1647000</v>
      </c>
      <c r="T39">
        <v>33145.80389</v>
      </c>
    </row>
    <row r="40" spans="1:20">
      <c r="A40">
        <v>2017</v>
      </c>
      <c r="B40" t="s">
        <v>26</v>
      </c>
      <c r="C40">
        <v>1031</v>
      </c>
      <c r="D40">
        <v>12643</v>
      </c>
      <c r="E40">
        <f t="shared" si="2"/>
        <v>12643000</v>
      </c>
      <c r="F40">
        <f t="shared" si="3"/>
        <v>12262.851600388</v>
      </c>
      <c r="I40">
        <v>3</v>
      </c>
      <c r="R40" s="1">
        <v>86767.823</v>
      </c>
      <c r="S40">
        <v>1744100</v>
      </c>
      <c r="T40">
        <v>49749.33949</v>
      </c>
    </row>
    <row r="41" spans="1:20">
      <c r="A41">
        <v>2017</v>
      </c>
      <c r="B41" t="s">
        <v>27</v>
      </c>
      <c r="C41">
        <v>21035</v>
      </c>
      <c r="D41">
        <v>20110</v>
      </c>
      <c r="E41">
        <f t="shared" si="2"/>
        <v>20110000</v>
      </c>
      <c r="F41">
        <f t="shared" si="3"/>
        <v>956.025671499881</v>
      </c>
      <c r="I41">
        <v>12</v>
      </c>
      <c r="R41" s="1">
        <v>69336.571</v>
      </c>
      <c r="S41">
        <v>2493200</v>
      </c>
      <c r="T41">
        <v>27810.27234</v>
      </c>
    </row>
    <row r="42" spans="1:20">
      <c r="A42">
        <v>2017</v>
      </c>
      <c r="B42" t="s">
        <v>28</v>
      </c>
      <c r="C42">
        <v>821</v>
      </c>
      <c r="D42">
        <v>1414</v>
      </c>
      <c r="E42">
        <f t="shared" si="2"/>
        <v>1414000</v>
      </c>
      <c r="F42">
        <f t="shared" si="3"/>
        <v>1722.28989037759</v>
      </c>
      <c r="I42">
        <v>2</v>
      </c>
      <c r="R42" s="1">
        <v>5694.648</v>
      </c>
      <c r="S42">
        <v>252000</v>
      </c>
      <c r="T42">
        <v>22597.80952</v>
      </c>
    </row>
    <row r="43" spans="1:20">
      <c r="A43">
        <v>2017</v>
      </c>
      <c r="B43" t="s">
        <v>29</v>
      </c>
      <c r="C43">
        <v>8104</v>
      </c>
      <c r="D43">
        <v>25491</v>
      </c>
      <c r="E43">
        <f t="shared" si="2"/>
        <v>25491000</v>
      </c>
      <c r="F43">
        <f t="shared" si="3"/>
        <v>3145.48371174729</v>
      </c>
      <c r="I43">
        <v>8</v>
      </c>
      <c r="R43" s="1">
        <v>302186.45</v>
      </c>
      <c r="S43">
        <v>6380700</v>
      </c>
      <c r="T43">
        <v>47359.45116</v>
      </c>
    </row>
    <row r="44" spans="1:20">
      <c r="A44">
        <v>2017</v>
      </c>
      <c r="B44" t="s">
        <v>30</v>
      </c>
      <c r="C44">
        <v>12955</v>
      </c>
      <c r="D44">
        <v>12979</v>
      </c>
      <c r="E44">
        <f t="shared" si="2"/>
        <v>12979000</v>
      </c>
      <c r="F44">
        <f t="shared" si="3"/>
        <v>1001.85256657661</v>
      </c>
      <c r="I44">
        <v>6</v>
      </c>
      <c r="R44" s="1">
        <v>33978.557</v>
      </c>
      <c r="S44">
        <v>1208000</v>
      </c>
      <c r="T44">
        <v>28127.94454</v>
      </c>
    </row>
    <row r="45" spans="1:20">
      <c r="A45">
        <v>2017</v>
      </c>
      <c r="B45" t="s">
        <v>31</v>
      </c>
      <c r="C45">
        <v>76115</v>
      </c>
      <c r="D45">
        <v>17792</v>
      </c>
      <c r="E45">
        <f t="shared" si="2"/>
        <v>17792000</v>
      </c>
      <c r="F45">
        <f t="shared" si="3"/>
        <v>233.751560139263</v>
      </c>
      <c r="I45">
        <v>4</v>
      </c>
      <c r="R45" s="1">
        <v>83793.257</v>
      </c>
      <c r="S45">
        <v>3855900</v>
      </c>
      <c r="T45">
        <v>21731.18001</v>
      </c>
    </row>
    <row r="46" spans="1:20">
      <c r="A46">
        <v>2017</v>
      </c>
      <c r="B46" t="s">
        <v>32</v>
      </c>
      <c r="C46">
        <v>124450</v>
      </c>
      <c r="D46">
        <v>17670</v>
      </c>
      <c r="E46">
        <f t="shared" si="2"/>
        <v>17670000</v>
      </c>
      <c r="F46">
        <f t="shared" si="3"/>
        <v>141.984732824427</v>
      </c>
      <c r="I46">
        <v>4</v>
      </c>
      <c r="R46" s="1">
        <v>130168.608</v>
      </c>
      <c r="S46">
        <v>2766300</v>
      </c>
      <c r="T46">
        <v>47055.13068</v>
      </c>
    </row>
    <row r="47" spans="1:20">
      <c r="A47">
        <v>2017</v>
      </c>
      <c r="B47" t="s">
        <v>33</v>
      </c>
      <c r="C47">
        <v>243</v>
      </c>
      <c r="D47">
        <v>19049</v>
      </c>
      <c r="E47">
        <f t="shared" si="2"/>
        <v>19049000</v>
      </c>
      <c r="F47">
        <f t="shared" si="3"/>
        <v>78390.9465020576</v>
      </c>
      <c r="I47">
        <v>8</v>
      </c>
      <c r="R47" s="1">
        <v>196582.953428191</v>
      </c>
      <c r="S47">
        <v>1793200</v>
      </c>
      <c r="T47">
        <v>109626.89796</v>
      </c>
    </row>
    <row r="48" spans="1:20">
      <c r="A48">
        <v>2017</v>
      </c>
      <c r="B48" t="s">
        <v>34</v>
      </c>
      <c r="C48">
        <v>91.64</v>
      </c>
      <c r="D48">
        <v>381</v>
      </c>
      <c r="E48">
        <f t="shared" si="2"/>
        <v>381000</v>
      </c>
      <c r="F48">
        <f t="shared" si="3"/>
        <v>4157.57311217809</v>
      </c>
      <c r="I48">
        <v>1</v>
      </c>
      <c r="R48" s="1">
        <v>6789.806</v>
      </c>
      <c r="S48">
        <v>97600</v>
      </c>
      <c r="T48">
        <v>69567.68443</v>
      </c>
    </row>
    <row r="49" spans="1:20">
      <c r="A49">
        <v>2017</v>
      </c>
      <c r="B49" t="s">
        <v>35</v>
      </c>
      <c r="C49">
        <v>49</v>
      </c>
      <c r="D49">
        <v>1872</v>
      </c>
      <c r="E49">
        <f t="shared" si="2"/>
        <v>1872000</v>
      </c>
      <c r="F49">
        <f t="shared" si="3"/>
        <v>38204.0816326531</v>
      </c>
      <c r="I49">
        <v>1</v>
      </c>
      <c r="R49" s="1">
        <v>9592.35357180837</v>
      </c>
      <c r="S49">
        <v>87500</v>
      </c>
      <c r="T49">
        <v>109626.89796</v>
      </c>
    </row>
    <row r="50" spans="1:20">
      <c r="A50">
        <v>2018</v>
      </c>
      <c r="B50" t="s">
        <v>20</v>
      </c>
      <c r="C50">
        <v>19210</v>
      </c>
      <c r="D50">
        <v>13487.2379119749</v>
      </c>
      <c r="E50">
        <f t="shared" si="2"/>
        <v>13487237.9119749</v>
      </c>
      <c r="F50">
        <f t="shared" si="3"/>
        <v>702.094633627012</v>
      </c>
      <c r="G50">
        <v>1</v>
      </c>
      <c r="H50">
        <v>0</v>
      </c>
      <c r="I50" s="4">
        <v>24</v>
      </c>
      <c r="J50" s="2">
        <f>G50+H50+I50</f>
        <v>25</v>
      </c>
      <c r="K50" s="2">
        <f>J50/C50</f>
        <v>0.0013014055179594</v>
      </c>
      <c r="L50" s="2">
        <v>0.4325</v>
      </c>
      <c r="M50">
        <v>82.92</v>
      </c>
      <c r="N50">
        <v>29558</v>
      </c>
      <c r="O50" s="5">
        <v>699</v>
      </c>
      <c r="P50">
        <f>N50+O50</f>
        <v>30257</v>
      </c>
      <c r="Q50">
        <f>P50/C50</f>
        <v>1.5750650702759</v>
      </c>
      <c r="R50" s="1">
        <v>130585.945</v>
      </c>
      <c r="S50">
        <v>3749400</v>
      </c>
      <c r="T50">
        <v>34828.49123</v>
      </c>
    </row>
    <row r="51" spans="1:20">
      <c r="A51">
        <v>2018</v>
      </c>
      <c r="B51" t="s">
        <v>21</v>
      </c>
      <c r="C51">
        <v>9427</v>
      </c>
      <c r="D51">
        <v>14480.018395565</v>
      </c>
      <c r="E51">
        <f t="shared" si="2"/>
        <v>14480018.395565</v>
      </c>
      <c r="F51">
        <f t="shared" si="3"/>
        <v>1536.01552939058</v>
      </c>
      <c r="G51">
        <v>2</v>
      </c>
      <c r="H51">
        <v>4</v>
      </c>
      <c r="I51" s="4">
        <v>8</v>
      </c>
      <c r="J51" s="2">
        <f t="shared" ref="J51:J82" si="4">G51+H51+I51</f>
        <v>14</v>
      </c>
      <c r="K51" s="2">
        <f t="shared" ref="K51:K82" si="5">J51/C51</f>
        <v>0.00148509600084863</v>
      </c>
      <c r="L51" s="2">
        <v>0.5372</v>
      </c>
      <c r="M51">
        <v>68.92</v>
      </c>
      <c r="N51">
        <v>19010</v>
      </c>
      <c r="O51" s="5">
        <v>442</v>
      </c>
      <c r="P51">
        <f t="shared" ref="P51:P82" si="6">N51+O51</f>
        <v>19452</v>
      </c>
      <c r="Q51">
        <f t="shared" ref="Q51:Q82" si="7">P51/C51</f>
        <v>2.06343481489339</v>
      </c>
      <c r="R51" s="1">
        <v>44803.83</v>
      </c>
      <c r="S51">
        <v>2163000</v>
      </c>
      <c r="T51">
        <v>20713.7448</v>
      </c>
    </row>
    <row r="52" spans="1:20">
      <c r="A52">
        <v>2018</v>
      </c>
      <c r="B52" t="s">
        <v>22</v>
      </c>
      <c r="C52">
        <v>15099</v>
      </c>
      <c r="D52">
        <v>9846.1234357734</v>
      </c>
      <c r="E52">
        <f t="shared" si="2"/>
        <v>9846123.4357734</v>
      </c>
      <c r="F52">
        <f t="shared" si="3"/>
        <v>652.104340404888</v>
      </c>
      <c r="G52">
        <v>1</v>
      </c>
      <c r="H52">
        <v>0</v>
      </c>
      <c r="I52" s="4">
        <v>7</v>
      </c>
      <c r="J52" s="2">
        <f t="shared" si="4"/>
        <v>8</v>
      </c>
      <c r="K52" s="2">
        <f t="shared" si="5"/>
        <v>0.000529836413007484</v>
      </c>
      <c r="L52" s="2">
        <v>0.7705</v>
      </c>
      <c r="M52">
        <v>73.08</v>
      </c>
      <c r="N52">
        <v>5225</v>
      </c>
      <c r="O52" s="5">
        <v>182</v>
      </c>
      <c r="P52">
        <f t="shared" si="6"/>
        <v>5407</v>
      </c>
      <c r="Q52">
        <f t="shared" si="7"/>
        <v>0.358103185641433</v>
      </c>
      <c r="R52" s="1">
        <v>24142.691</v>
      </c>
      <c r="S52">
        <v>1860500</v>
      </c>
      <c r="T52">
        <v>12976.4531</v>
      </c>
    </row>
    <row r="53" spans="1:20">
      <c r="A53">
        <v>2018</v>
      </c>
      <c r="B53" t="s">
        <v>23</v>
      </c>
      <c r="C53">
        <v>1720</v>
      </c>
      <c r="D53">
        <v>13122.6041634891</v>
      </c>
      <c r="E53">
        <f t="shared" si="2"/>
        <v>13122604.1634891</v>
      </c>
      <c r="F53">
        <f t="shared" si="3"/>
        <v>7629.42102528436</v>
      </c>
      <c r="G53">
        <v>1</v>
      </c>
      <c r="H53">
        <v>2</v>
      </c>
      <c r="I53" s="4">
        <v>2</v>
      </c>
      <c r="J53" s="2">
        <f t="shared" si="4"/>
        <v>5</v>
      </c>
      <c r="K53" s="2">
        <f t="shared" si="5"/>
        <v>0.00290697674418605</v>
      </c>
      <c r="L53" s="2">
        <v>0.3515</v>
      </c>
      <c r="M53">
        <v>80.17</v>
      </c>
      <c r="N53">
        <v>19354</v>
      </c>
      <c r="O53" s="5">
        <v>217</v>
      </c>
      <c r="P53">
        <f t="shared" si="6"/>
        <v>19571</v>
      </c>
      <c r="Q53">
        <f t="shared" si="7"/>
        <v>11.378488372093</v>
      </c>
      <c r="R53" s="1">
        <v>42375.671</v>
      </c>
      <c r="S53">
        <v>922400</v>
      </c>
      <c r="T53">
        <v>45940.66674</v>
      </c>
    </row>
    <row r="54" spans="1:20">
      <c r="A54">
        <v>2018</v>
      </c>
      <c r="B54" t="s">
        <v>24</v>
      </c>
      <c r="C54">
        <v>6686</v>
      </c>
      <c r="D54">
        <v>12802.1189060886</v>
      </c>
      <c r="E54">
        <f t="shared" si="2"/>
        <v>12802118.9060886</v>
      </c>
      <c r="F54">
        <f t="shared" si="3"/>
        <v>1914.76501736294</v>
      </c>
      <c r="G54">
        <v>0</v>
      </c>
      <c r="H54">
        <v>2</v>
      </c>
      <c r="I54" s="4">
        <v>5</v>
      </c>
      <c r="J54" s="2">
        <f t="shared" si="4"/>
        <v>7</v>
      </c>
      <c r="K54" s="2">
        <f t="shared" si="5"/>
        <v>0.0010469638049656</v>
      </c>
      <c r="L54" s="2">
        <v>0.5527</v>
      </c>
      <c r="M54">
        <v>19.58</v>
      </c>
      <c r="N54">
        <v>10924</v>
      </c>
      <c r="O54" s="5">
        <v>435</v>
      </c>
      <c r="P54">
        <f t="shared" si="6"/>
        <v>11359</v>
      </c>
      <c r="Q54">
        <f t="shared" si="7"/>
        <v>1.69892312294346</v>
      </c>
      <c r="R54" s="1">
        <v>45694.04</v>
      </c>
      <c r="S54">
        <v>1122900</v>
      </c>
      <c r="T54">
        <v>40692.8845</v>
      </c>
    </row>
    <row r="55" spans="1:20">
      <c r="A55">
        <v>2018</v>
      </c>
      <c r="B55" t="s">
        <v>25</v>
      </c>
      <c r="C55">
        <v>35965</v>
      </c>
      <c r="D55">
        <v>18111.3565763172</v>
      </c>
      <c r="E55">
        <f t="shared" si="2"/>
        <v>18111356.5763172</v>
      </c>
      <c r="F55">
        <f t="shared" si="3"/>
        <v>503.582832651667</v>
      </c>
      <c r="G55">
        <v>1</v>
      </c>
      <c r="H55">
        <v>0</v>
      </c>
      <c r="I55" s="4">
        <v>16</v>
      </c>
      <c r="J55" s="2">
        <f t="shared" si="4"/>
        <v>17</v>
      </c>
      <c r="K55" s="2">
        <f t="shared" si="5"/>
        <v>0.000472681773946893</v>
      </c>
      <c r="L55" s="2">
        <v>0.634</v>
      </c>
      <c r="M55">
        <v>28.17</v>
      </c>
      <c r="N55">
        <v>28431</v>
      </c>
      <c r="O55" s="5">
        <v>450</v>
      </c>
      <c r="P55">
        <f t="shared" si="6"/>
        <v>28881</v>
      </c>
      <c r="Q55">
        <f t="shared" si="7"/>
        <v>0.803030724315307</v>
      </c>
      <c r="R55" s="1">
        <v>56289.94</v>
      </c>
      <c r="S55">
        <v>1664700</v>
      </c>
      <c r="T55">
        <v>33813.86436</v>
      </c>
    </row>
    <row r="56" spans="1:20">
      <c r="A56">
        <v>2018</v>
      </c>
      <c r="B56" t="s">
        <v>26</v>
      </c>
      <c r="C56">
        <v>1031</v>
      </c>
      <c r="D56">
        <v>14450.4911905341</v>
      </c>
      <c r="E56">
        <f t="shared" si="2"/>
        <v>14450491.1905341</v>
      </c>
      <c r="F56">
        <f t="shared" si="3"/>
        <v>14015.9953351446</v>
      </c>
      <c r="G56">
        <v>1</v>
      </c>
      <c r="H56">
        <v>4</v>
      </c>
      <c r="I56" s="4">
        <v>5</v>
      </c>
      <c r="J56" s="2">
        <f t="shared" si="4"/>
        <v>10</v>
      </c>
      <c r="K56" s="2">
        <f t="shared" si="5"/>
        <v>0.00969932104752667</v>
      </c>
      <c r="L56" s="2">
        <v>0.2391</v>
      </c>
      <c r="M56">
        <v>83.17</v>
      </c>
      <c r="N56">
        <v>20306</v>
      </c>
      <c r="O56" s="5">
        <v>264</v>
      </c>
      <c r="P56">
        <f t="shared" si="6"/>
        <v>20570</v>
      </c>
      <c r="Q56">
        <f t="shared" si="7"/>
        <v>19.9515033947624</v>
      </c>
      <c r="R56" s="1">
        <v>91234.235</v>
      </c>
      <c r="S56">
        <v>1762800</v>
      </c>
      <c r="T56">
        <v>51755.29555</v>
      </c>
    </row>
    <row r="57" spans="1:20">
      <c r="A57">
        <v>2018</v>
      </c>
      <c r="B57" t="s">
        <v>27</v>
      </c>
      <c r="C57">
        <v>21035</v>
      </c>
      <c r="D57">
        <v>17553.1612058818</v>
      </c>
      <c r="E57">
        <f t="shared" si="2"/>
        <v>17553161.2058818</v>
      </c>
      <c r="F57">
        <f t="shared" si="3"/>
        <v>834.474029278907</v>
      </c>
      <c r="G57">
        <v>1</v>
      </c>
      <c r="H57">
        <v>12</v>
      </c>
      <c r="I57" s="4">
        <v>12</v>
      </c>
      <c r="J57" s="2">
        <f t="shared" si="4"/>
        <v>25</v>
      </c>
      <c r="K57" s="2">
        <f t="shared" si="5"/>
        <v>0.00118849536486808</v>
      </c>
      <c r="L57" s="2">
        <v>0.6502</v>
      </c>
      <c r="M57">
        <v>83.83</v>
      </c>
      <c r="N57">
        <v>20306</v>
      </c>
      <c r="O57" s="5">
        <v>409</v>
      </c>
      <c r="P57">
        <f t="shared" si="6"/>
        <v>20715</v>
      </c>
      <c r="Q57">
        <f t="shared" si="7"/>
        <v>0.984787259329689</v>
      </c>
      <c r="R57" s="1">
        <v>73030.81</v>
      </c>
      <c r="S57">
        <v>2503500</v>
      </c>
      <c r="T57">
        <v>29171.48392</v>
      </c>
    </row>
    <row r="58" spans="1:20">
      <c r="A58">
        <v>2018</v>
      </c>
      <c r="B58" t="s">
        <v>28</v>
      </c>
      <c r="C58">
        <v>821</v>
      </c>
      <c r="D58">
        <v>2155.5079034032</v>
      </c>
      <c r="E58">
        <f t="shared" si="2"/>
        <v>2155507.9034032</v>
      </c>
      <c r="F58">
        <f t="shared" si="3"/>
        <v>2625.4663866056</v>
      </c>
      <c r="G58">
        <v>0</v>
      </c>
      <c r="H58">
        <v>2</v>
      </c>
      <c r="I58" s="4">
        <v>2</v>
      </c>
      <c r="J58" s="2">
        <f t="shared" si="4"/>
        <v>4</v>
      </c>
      <c r="K58" s="2">
        <f t="shared" si="5"/>
        <v>0.0048721071863581</v>
      </c>
      <c r="L58" s="2">
        <v>0.3226</v>
      </c>
      <c r="M58">
        <v>45.42</v>
      </c>
      <c r="N58">
        <v>1299</v>
      </c>
      <c r="O58" s="5">
        <v>64</v>
      </c>
      <c r="P58">
        <f t="shared" si="6"/>
        <v>1363</v>
      </c>
      <c r="Q58">
        <f t="shared" si="7"/>
        <v>1.66017052375152</v>
      </c>
      <c r="R58" s="1">
        <v>5885.364</v>
      </c>
      <c r="S58">
        <v>253500</v>
      </c>
      <c r="T58">
        <v>23216.42604</v>
      </c>
    </row>
    <row r="59" spans="1:20">
      <c r="A59">
        <v>2018</v>
      </c>
      <c r="B59" t="s">
        <v>29</v>
      </c>
      <c r="C59">
        <v>8104</v>
      </c>
      <c r="D59">
        <v>30179.0472040831</v>
      </c>
      <c r="E59">
        <f t="shared" si="2"/>
        <v>30179047.2040831</v>
      </c>
      <c r="F59">
        <f t="shared" si="3"/>
        <v>3723.96929961539</v>
      </c>
      <c r="G59">
        <v>1</v>
      </c>
      <c r="H59">
        <v>5</v>
      </c>
      <c r="I59" s="4">
        <v>8</v>
      </c>
      <c r="J59" s="2">
        <f t="shared" si="4"/>
        <v>14</v>
      </c>
      <c r="K59" s="2">
        <f t="shared" si="5"/>
        <v>0.00172754195459033</v>
      </c>
      <c r="L59" s="2">
        <v>0.2468</v>
      </c>
      <c r="M59">
        <v>68.25</v>
      </c>
      <c r="N59">
        <v>31668</v>
      </c>
      <c r="O59" s="5">
        <v>713</v>
      </c>
      <c r="P59">
        <f t="shared" si="6"/>
        <v>32381</v>
      </c>
      <c r="Q59">
        <f t="shared" si="7"/>
        <v>3.99568114511352</v>
      </c>
      <c r="R59" s="1">
        <v>323215.439</v>
      </c>
      <c r="S59">
        <v>6475000</v>
      </c>
      <c r="T59">
        <v>49917.44232</v>
      </c>
    </row>
    <row r="60" spans="1:20">
      <c r="A60">
        <v>2018</v>
      </c>
      <c r="B60" t="s">
        <v>30</v>
      </c>
      <c r="C60">
        <v>12955</v>
      </c>
      <c r="D60">
        <v>13742.3663642652</v>
      </c>
      <c r="E60">
        <f t="shared" si="2"/>
        <v>13742366.3642652</v>
      </c>
      <c r="F60">
        <f t="shared" si="3"/>
        <v>1060.77702541607</v>
      </c>
      <c r="G60">
        <v>2</v>
      </c>
      <c r="H60">
        <v>0</v>
      </c>
      <c r="I60" s="4">
        <v>7</v>
      </c>
      <c r="J60" s="2">
        <f t="shared" si="4"/>
        <v>9</v>
      </c>
      <c r="K60" s="2">
        <f t="shared" si="5"/>
        <v>0.000694712466229255</v>
      </c>
      <c r="L60" s="2">
        <v>0.7619</v>
      </c>
      <c r="M60">
        <v>65.67</v>
      </c>
      <c r="N60">
        <v>9860</v>
      </c>
      <c r="O60" s="5">
        <v>187</v>
      </c>
      <c r="P60">
        <f t="shared" si="6"/>
        <v>10047</v>
      </c>
      <c r="Q60">
        <f t="shared" si="7"/>
        <v>0.775530683133925</v>
      </c>
      <c r="R60" s="1">
        <v>34838.208</v>
      </c>
      <c r="S60">
        <v>1228300</v>
      </c>
      <c r="T60">
        <v>28362.94716</v>
      </c>
    </row>
    <row r="61" spans="1:20">
      <c r="A61">
        <v>2018</v>
      </c>
      <c r="B61" t="s">
        <v>31</v>
      </c>
      <c r="C61">
        <v>76115</v>
      </c>
      <c r="D61">
        <v>20359.8810907898</v>
      </c>
      <c r="E61">
        <f t="shared" si="2"/>
        <v>20359881.0907898</v>
      </c>
      <c r="F61">
        <f t="shared" si="3"/>
        <v>267.488420032711</v>
      </c>
      <c r="G61">
        <v>5</v>
      </c>
      <c r="H61">
        <v>0</v>
      </c>
      <c r="I61" s="4">
        <v>4</v>
      </c>
      <c r="J61" s="2">
        <f t="shared" si="4"/>
        <v>9</v>
      </c>
      <c r="K61" s="2">
        <f t="shared" si="5"/>
        <v>0.000118242133613611</v>
      </c>
      <c r="L61" s="2">
        <v>0.6638</v>
      </c>
      <c r="M61">
        <v>68.67</v>
      </c>
      <c r="N61">
        <v>27181</v>
      </c>
      <c r="O61" s="5">
        <v>687</v>
      </c>
      <c r="P61">
        <f t="shared" si="6"/>
        <v>27868</v>
      </c>
      <c r="Q61">
        <f t="shared" si="7"/>
        <v>0.366130197727123</v>
      </c>
      <c r="R61" s="1">
        <v>85012.016</v>
      </c>
      <c r="S61">
        <v>3898400</v>
      </c>
      <c r="T61">
        <v>21806.89924</v>
      </c>
    </row>
    <row r="62" spans="1:20">
      <c r="A62">
        <v>2018</v>
      </c>
      <c r="B62" t="s">
        <v>32</v>
      </c>
      <c r="C62">
        <v>124450</v>
      </c>
      <c r="D62">
        <v>19380.2301990599</v>
      </c>
      <c r="E62">
        <f t="shared" si="2"/>
        <v>19380230.1990599</v>
      </c>
      <c r="F62">
        <f t="shared" si="3"/>
        <v>155.727040570992</v>
      </c>
      <c r="G62">
        <v>8</v>
      </c>
      <c r="H62">
        <v>0</v>
      </c>
      <c r="I62" s="4">
        <v>4</v>
      </c>
      <c r="J62" s="2">
        <f t="shared" si="4"/>
        <v>12</v>
      </c>
      <c r="K62" s="2">
        <f t="shared" si="5"/>
        <v>9.64242667738047e-5</v>
      </c>
      <c r="L62" s="2">
        <v>0.7201</v>
      </c>
      <c r="M62">
        <v>67.5</v>
      </c>
      <c r="N62">
        <v>27338</v>
      </c>
      <c r="O62" s="5">
        <v>866</v>
      </c>
      <c r="P62">
        <f t="shared" si="6"/>
        <v>28204</v>
      </c>
      <c r="Q62">
        <f t="shared" si="7"/>
        <v>0.226629168340699</v>
      </c>
      <c r="R62" s="1">
        <v>133009.823</v>
      </c>
      <c r="S62">
        <v>2791700</v>
      </c>
      <c r="T62">
        <v>47644.74084</v>
      </c>
    </row>
    <row r="63" spans="1:20">
      <c r="A63">
        <v>2018</v>
      </c>
      <c r="B63" t="s">
        <v>33</v>
      </c>
      <c r="C63">
        <v>243</v>
      </c>
      <c r="D63">
        <v>19165.4971713709</v>
      </c>
      <c r="E63">
        <f t="shared" si="2"/>
        <v>19165497.1713709</v>
      </c>
      <c r="F63">
        <f t="shared" si="3"/>
        <v>78870.3587299214</v>
      </c>
      <c r="G63">
        <v>2</v>
      </c>
      <c r="H63">
        <v>4</v>
      </c>
      <c r="I63" s="4">
        <v>8</v>
      </c>
      <c r="J63" s="2">
        <f t="shared" si="4"/>
        <v>14</v>
      </c>
      <c r="K63" s="2">
        <f t="shared" si="5"/>
        <v>0.0576131687242798</v>
      </c>
      <c r="L63" s="2">
        <v>0.4993</v>
      </c>
      <c r="M63">
        <v>55.83</v>
      </c>
      <c r="N63">
        <v>57286</v>
      </c>
      <c r="O63" s="5">
        <v>0</v>
      </c>
      <c r="P63">
        <f t="shared" si="6"/>
        <v>57286</v>
      </c>
      <c r="Q63">
        <f t="shared" si="7"/>
        <v>235.744855967078</v>
      </c>
      <c r="R63" s="1">
        <v>209009.412600678</v>
      </c>
      <c r="S63">
        <v>1790000</v>
      </c>
      <c r="T63">
        <v>116765.03497</v>
      </c>
    </row>
    <row r="64" spans="1:20">
      <c r="A64">
        <v>2018</v>
      </c>
      <c r="B64" t="s">
        <v>34</v>
      </c>
      <c r="C64">
        <v>91.64</v>
      </c>
      <c r="D64">
        <v>544.932022066991</v>
      </c>
      <c r="E64">
        <f t="shared" si="2"/>
        <v>544932.022066991</v>
      </c>
      <c r="F64">
        <f t="shared" si="3"/>
        <v>5946.44284228493</v>
      </c>
      <c r="G64">
        <v>1</v>
      </c>
      <c r="H64">
        <v>0</v>
      </c>
      <c r="I64" s="4">
        <v>1</v>
      </c>
      <c r="J64" s="2">
        <f t="shared" si="4"/>
        <v>2</v>
      </c>
      <c r="K64" s="2">
        <f t="shared" si="5"/>
        <v>0.0218245307725884</v>
      </c>
      <c r="L64" s="2">
        <v>1</v>
      </c>
      <c r="M64">
        <v>60.5</v>
      </c>
      <c r="N64">
        <v>2197</v>
      </c>
      <c r="O64" s="5">
        <v>97</v>
      </c>
      <c r="P64">
        <f t="shared" si="6"/>
        <v>2294</v>
      </c>
      <c r="Q64">
        <f t="shared" si="7"/>
        <v>25.0327367961589</v>
      </c>
      <c r="R64" s="1">
        <v>7244.941</v>
      </c>
      <c r="S64">
        <v>99000</v>
      </c>
      <c r="T64">
        <v>73181.22222</v>
      </c>
    </row>
    <row r="65" spans="1:20">
      <c r="A65">
        <v>2018</v>
      </c>
      <c r="B65" t="s">
        <v>35</v>
      </c>
      <c r="C65">
        <v>49</v>
      </c>
      <c r="D65">
        <v>1891.90699333668</v>
      </c>
      <c r="E65">
        <f t="shared" si="2"/>
        <v>1891906.99333668</v>
      </c>
      <c r="F65">
        <f t="shared" si="3"/>
        <v>38610.3468027894</v>
      </c>
      <c r="G65">
        <v>0</v>
      </c>
      <c r="H65">
        <v>0</v>
      </c>
      <c r="I65">
        <v>1</v>
      </c>
      <c r="J65" s="2">
        <f t="shared" si="4"/>
        <v>1</v>
      </c>
      <c r="K65" s="2">
        <f t="shared" si="5"/>
        <v>0.0204081632653061</v>
      </c>
      <c r="L65" s="2">
        <v>0.4155</v>
      </c>
      <c r="M65">
        <v>71.42</v>
      </c>
      <c r="N65">
        <v>1333</v>
      </c>
      <c r="O65" s="5">
        <v>0</v>
      </c>
      <c r="P65">
        <f t="shared" si="6"/>
        <v>1333</v>
      </c>
      <c r="Q65">
        <f t="shared" si="7"/>
        <v>27.2040816326531</v>
      </c>
      <c r="R65" s="1">
        <v>11349.5613993217</v>
      </c>
      <c r="S65">
        <v>97200</v>
      </c>
      <c r="T65">
        <v>116765.03497</v>
      </c>
    </row>
    <row r="66" spans="1:20">
      <c r="A66">
        <v>2019</v>
      </c>
      <c r="B66" t="s">
        <v>20</v>
      </c>
      <c r="C66">
        <v>19210</v>
      </c>
      <c r="D66">
        <v>14274</v>
      </c>
      <c r="E66">
        <f t="shared" si="2"/>
        <v>14274000</v>
      </c>
      <c r="F66">
        <f t="shared" si="3"/>
        <v>743.050494534097</v>
      </c>
      <c r="G66">
        <v>1</v>
      </c>
      <c r="H66">
        <v>0</v>
      </c>
      <c r="I66" s="4">
        <v>24</v>
      </c>
      <c r="J66" s="2">
        <f t="shared" si="4"/>
        <v>25</v>
      </c>
      <c r="K66" s="2">
        <f t="shared" si="5"/>
        <v>0.0013014055179594</v>
      </c>
      <c r="L66" s="2">
        <v>0.4053</v>
      </c>
      <c r="M66">
        <v>81.42</v>
      </c>
      <c r="N66">
        <v>34911</v>
      </c>
      <c r="O66" s="5">
        <v>744.53</v>
      </c>
      <c r="P66">
        <f t="shared" si="6"/>
        <v>35655.53</v>
      </c>
      <c r="Q66">
        <f t="shared" si="7"/>
        <v>1.85609213951067</v>
      </c>
      <c r="R66" s="1">
        <v>134225.938</v>
      </c>
      <c r="S66">
        <v>3761200</v>
      </c>
      <c r="T66">
        <v>35686.9983</v>
      </c>
    </row>
    <row r="67" spans="1:20">
      <c r="A67">
        <v>2019</v>
      </c>
      <c r="B67" t="s">
        <v>21</v>
      </c>
      <c r="C67">
        <v>9427</v>
      </c>
      <c r="D67">
        <v>14831</v>
      </c>
      <c r="E67">
        <f t="shared" ref="E67:E98" si="8">D67*1000</f>
        <v>14831000</v>
      </c>
      <c r="F67">
        <f t="shared" ref="F67:F98" si="9">E67/C67</f>
        <v>1573.24705632757</v>
      </c>
      <c r="G67">
        <v>2</v>
      </c>
      <c r="H67">
        <v>4</v>
      </c>
      <c r="I67" s="4">
        <v>8</v>
      </c>
      <c r="J67" s="2">
        <f t="shared" si="4"/>
        <v>14</v>
      </c>
      <c r="K67" s="2">
        <f t="shared" si="5"/>
        <v>0.00148509600084863</v>
      </c>
      <c r="L67" s="2">
        <v>0.5298</v>
      </c>
      <c r="M67">
        <v>74.83</v>
      </c>
      <c r="N67">
        <v>19640</v>
      </c>
      <c r="O67" s="5">
        <v>456.09</v>
      </c>
      <c r="P67">
        <f t="shared" si="6"/>
        <v>20096.09</v>
      </c>
      <c r="Q67">
        <f t="shared" si="7"/>
        <v>2.13175877797815</v>
      </c>
      <c r="R67" s="1">
        <v>46841.199</v>
      </c>
      <c r="S67">
        <v>2173700</v>
      </c>
      <c r="T67">
        <v>21549.06335</v>
      </c>
    </row>
    <row r="68" spans="1:20">
      <c r="A68">
        <v>2019</v>
      </c>
      <c r="B68" t="s">
        <v>22</v>
      </c>
      <c r="C68">
        <v>15099</v>
      </c>
      <c r="D68">
        <v>10986</v>
      </c>
      <c r="E68">
        <f t="shared" si="8"/>
        <v>10986000</v>
      </c>
      <c r="F68">
        <f t="shared" si="9"/>
        <v>727.597854162527</v>
      </c>
      <c r="G68">
        <v>1</v>
      </c>
      <c r="H68">
        <v>0</v>
      </c>
      <c r="I68" s="4">
        <v>7</v>
      </c>
      <c r="J68" s="2">
        <f t="shared" si="4"/>
        <v>8</v>
      </c>
      <c r="K68" s="2">
        <f t="shared" si="5"/>
        <v>0.000529836413007484</v>
      </c>
      <c r="L68" s="2">
        <v>0.7808</v>
      </c>
      <c r="M68">
        <v>79.58</v>
      </c>
      <c r="N68">
        <v>5851</v>
      </c>
      <c r="O68" s="5">
        <v>182</v>
      </c>
      <c r="P68">
        <f t="shared" si="6"/>
        <v>6033</v>
      </c>
      <c r="Q68">
        <f t="shared" si="7"/>
        <v>0.399562884959269</v>
      </c>
      <c r="R68" s="1">
        <v>25479.178</v>
      </c>
      <c r="S68">
        <v>1883800</v>
      </c>
      <c r="T68">
        <v>13525.41565</v>
      </c>
    </row>
    <row r="69" spans="1:20">
      <c r="A69">
        <v>2019</v>
      </c>
      <c r="B69" t="s">
        <v>23</v>
      </c>
      <c r="C69">
        <v>1720</v>
      </c>
      <c r="D69">
        <v>13979</v>
      </c>
      <c r="E69">
        <f t="shared" si="8"/>
        <v>13979000</v>
      </c>
      <c r="F69">
        <f t="shared" si="9"/>
        <v>8127.32558139535</v>
      </c>
      <c r="G69">
        <v>1</v>
      </c>
      <c r="H69">
        <v>2</v>
      </c>
      <c r="I69" s="4">
        <v>2</v>
      </c>
      <c r="J69" s="2">
        <f t="shared" si="4"/>
        <v>5</v>
      </c>
      <c r="K69" s="2">
        <f t="shared" si="5"/>
        <v>0.00290697674418605</v>
      </c>
      <c r="L69" s="2">
        <v>0.3374</v>
      </c>
      <c r="M69">
        <v>87.92</v>
      </c>
      <c r="N69">
        <v>21540</v>
      </c>
      <c r="O69" s="5">
        <v>217</v>
      </c>
      <c r="P69">
        <f t="shared" si="6"/>
        <v>21757</v>
      </c>
      <c r="Q69">
        <f t="shared" si="7"/>
        <v>12.6494186046512</v>
      </c>
      <c r="R69" s="1">
        <v>43583.397</v>
      </c>
      <c r="S69">
        <v>928400</v>
      </c>
      <c r="T69">
        <v>46944.6327</v>
      </c>
    </row>
    <row r="70" spans="1:20">
      <c r="A70">
        <v>2019</v>
      </c>
      <c r="B70" t="s">
        <v>24</v>
      </c>
      <c r="C70">
        <v>6686</v>
      </c>
      <c r="D70">
        <v>13303</v>
      </c>
      <c r="E70">
        <f t="shared" si="8"/>
        <v>13303000</v>
      </c>
      <c r="F70">
        <f t="shared" si="9"/>
        <v>1989.6799282082</v>
      </c>
      <c r="G70">
        <v>0</v>
      </c>
      <c r="H70">
        <v>2</v>
      </c>
      <c r="I70" s="4">
        <v>5</v>
      </c>
      <c r="J70" s="2">
        <f t="shared" si="4"/>
        <v>7</v>
      </c>
      <c r="K70" s="2">
        <f t="shared" si="5"/>
        <v>0.0010469638049656</v>
      </c>
      <c r="L70" s="2">
        <v>0.5837</v>
      </c>
      <c r="M70">
        <v>19.17</v>
      </c>
      <c r="N70">
        <v>12892</v>
      </c>
      <c r="O70" s="5">
        <v>435</v>
      </c>
      <c r="P70">
        <f t="shared" si="6"/>
        <v>13327</v>
      </c>
      <c r="Q70">
        <f t="shared" si="7"/>
        <v>1.99326951839665</v>
      </c>
      <c r="R70" s="1">
        <v>48033.554</v>
      </c>
      <c r="S70">
        <v>1126200</v>
      </c>
      <c r="T70">
        <v>42650.99805</v>
      </c>
    </row>
    <row r="71" spans="1:20">
      <c r="A71">
        <v>2019</v>
      </c>
      <c r="B71" t="s">
        <v>25</v>
      </c>
      <c r="C71">
        <v>35965</v>
      </c>
      <c r="D71">
        <v>18498</v>
      </c>
      <c r="E71">
        <f t="shared" si="8"/>
        <v>18498000</v>
      </c>
      <c r="F71">
        <f t="shared" si="9"/>
        <v>514.333379674684</v>
      </c>
      <c r="G71">
        <v>1</v>
      </c>
      <c r="H71">
        <v>0</v>
      </c>
      <c r="I71" s="4">
        <v>16</v>
      </c>
      <c r="J71" s="2">
        <f t="shared" si="4"/>
        <v>17</v>
      </c>
      <c r="K71" s="2">
        <f t="shared" si="5"/>
        <v>0.000472681773946893</v>
      </c>
      <c r="L71" s="2">
        <v>0.652</v>
      </c>
      <c r="M71">
        <v>29.17</v>
      </c>
      <c r="N71">
        <v>31522</v>
      </c>
      <c r="O71" s="5">
        <v>450</v>
      </c>
      <c r="P71">
        <f t="shared" si="6"/>
        <v>31972</v>
      </c>
      <c r="Q71">
        <f t="shared" si="7"/>
        <v>0.888975392742945</v>
      </c>
      <c r="R71" s="1">
        <v>58434.372</v>
      </c>
      <c r="S71">
        <v>1671400</v>
      </c>
      <c r="T71">
        <v>34961.33301</v>
      </c>
    </row>
    <row r="72" spans="1:20">
      <c r="A72">
        <v>2019</v>
      </c>
      <c r="B72" t="s">
        <v>26</v>
      </c>
      <c r="C72">
        <v>1031</v>
      </c>
      <c r="D72">
        <v>15411</v>
      </c>
      <c r="E72">
        <f t="shared" si="8"/>
        <v>15411000</v>
      </c>
      <c r="F72">
        <f t="shared" si="9"/>
        <v>14947.6236663434</v>
      </c>
      <c r="G72">
        <v>1</v>
      </c>
      <c r="H72">
        <v>4</v>
      </c>
      <c r="I72" s="4">
        <v>5</v>
      </c>
      <c r="J72" s="2">
        <f t="shared" si="4"/>
        <v>10</v>
      </c>
      <c r="K72" s="2">
        <f t="shared" si="5"/>
        <v>0.00969932104752667</v>
      </c>
      <c r="L72" s="2">
        <v>0.236</v>
      </c>
      <c r="M72">
        <v>87.58</v>
      </c>
      <c r="N72">
        <v>23502</v>
      </c>
      <c r="O72" s="5">
        <v>264</v>
      </c>
      <c r="P72">
        <f t="shared" si="6"/>
        <v>23766</v>
      </c>
      <c r="Q72">
        <f t="shared" si="7"/>
        <v>23.0514064015519</v>
      </c>
      <c r="R72" s="1">
        <v>94645.352</v>
      </c>
      <c r="S72">
        <v>1768800</v>
      </c>
      <c r="T72">
        <v>53508.22705</v>
      </c>
    </row>
    <row r="73" spans="1:20">
      <c r="A73">
        <v>2019</v>
      </c>
      <c r="B73" t="s">
        <v>27</v>
      </c>
      <c r="C73">
        <v>21035</v>
      </c>
      <c r="D73">
        <v>21070</v>
      </c>
      <c r="E73">
        <f t="shared" si="8"/>
        <v>21070000</v>
      </c>
      <c r="F73">
        <f t="shared" si="9"/>
        <v>1001.66389351082</v>
      </c>
      <c r="G73">
        <v>1</v>
      </c>
      <c r="H73">
        <v>12</v>
      </c>
      <c r="I73" s="4">
        <v>13</v>
      </c>
      <c r="J73" s="2">
        <f t="shared" si="4"/>
        <v>26</v>
      </c>
      <c r="K73" s="2">
        <f t="shared" si="5"/>
        <v>0.0012360351794628</v>
      </c>
      <c r="L73" s="2">
        <v>0.6454</v>
      </c>
      <c r="M73">
        <v>83.17</v>
      </c>
      <c r="N73">
        <v>19769</v>
      </c>
      <c r="O73" s="5">
        <v>409</v>
      </c>
      <c r="P73">
        <f t="shared" si="6"/>
        <v>20178</v>
      </c>
      <c r="Q73">
        <f t="shared" si="7"/>
        <v>0.959258378892322</v>
      </c>
      <c r="R73" s="1">
        <v>75992.708</v>
      </c>
      <c r="S73">
        <v>2508800</v>
      </c>
      <c r="T73">
        <v>30290.46078</v>
      </c>
    </row>
    <row r="74" spans="1:20">
      <c r="A74">
        <v>2019</v>
      </c>
      <c r="B74" t="s">
        <v>28</v>
      </c>
      <c r="C74">
        <v>821</v>
      </c>
      <c r="D74">
        <v>2088</v>
      </c>
      <c r="E74">
        <f t="shared" si="8"/>
        <v>2088000</v>
      </c>
      <c r="F74">
        <f t="shared" si="9"/>
        <v>2543.23995127893</v>
      </c>
      <c r="G74">
        <v>0</v>
      </c>
      <c r="H74">
        <v>2</v>
      </c>
      <c r="I74" s="4">
        <v>2</v>
      </c>
      <c r="J74" s="2">
        <f t="shared" si="4"/>
        <v>4</v>
      </c>
      <c r="K74" s="2">
        <f t="shared" si="5"/>
        <v>0.0048721071863581</v>
      </c>
      <c r="L74" s="2">
        <v>0.3233</v>
      </c>
      <c r="M74">
        <v>54.33</v>
      </c>
      <c r="N74">
        <v>1379</v>
      </c>
      <c r="O74" s="5">
        <v>64</v>
      </c>
      <c r="P74">
        <f t="shared" si="6"/>
        <v>1443</v>
      </c>
      <c r="Q74">
        <f t="shared" si="7"/>
        <v>1.75761266747868</v>
      </c>
      <c r="R74" s="1">
        <v>6151.334</v>
      </c>
      <c r="S74">
        <v>254000</v>
      </c>
      <c r="T74">
        <v>24217.85039</v>
      </c>
    </row>
    <row r="75" spans="1:20">
      <c r="A75">
        <v>2019</v>
      </c>
      <c r="B75" t="s">
        <v>29</v>
      </c>
      <c r="C75">
        <v>8104</v>
      </c>
      <c r="D75">
        <v>33589</v>
      </c>
      <c r="E75">
        <f t="shared" si="8"/>
        <v>33589000</v>
      </c>
      <c r="F75">
        <f t="shared" si="9"/>
        <v>4144.74333662389</v>
      </c>
      <c r="G75">
        <v>1</v>
      </c>
      <c r="H75">
        <v>5</v>
      </c>
      <c r="I75" s="4">
        <v>9</v>
      </c>
      <c r="J75" s="2">
        <f t="shared" si="4"/>
        <v>15</v>
      </c>
      <c r="K75" s="2">
        <f t="shared" si="5"/>
        <v>0.00185093780848963</v>
      </c>
      <c r="L75" s="2">
        <v>0.2463</v>
      </c>
      <c r="M75">
        <v>69.83</v>
      </c>
      <c r="N75">
        <v>35063</v>
      </c>
      <c r="O75" s="5">
        <v>713</v>
      </c>
      <c r="P75">
        <f t="shared" si="6"/>
        <v>35776</v>
      </c>
      <c r="Q75">
        <f t="shared" si="7"/>
        <v>4.41461006910168</v>
      </c>
      <c r="R75" s="1">
        <v>345008.461</v>
      </c>
      <c r="S75" s="4">
        <v>6506100</v>
      </c>
      <c r="T75">
        <v>53028.4596</v>
      </c>
    </row>
    <row r="76" spans="1:20">
      <c r="A76">
        <v>2019</v>
      </c>
      <c r="B76" t="s">
        <v>30</v>
      </c>
      <c r="C76">
        <v>12955</v>
      </c>
      <c r="D76">
        <v>14158</v>
      </c>
      <c r="E76">
        <f t="shared" si="8"/>
        <v>14158000</v>
      </c>
      <c r="F76">
        <f t="shared" si="9"/>
        <v>1092.85989965264</v>
      </c>
      <c r="G76">
        <v>1</v>
      </c>
      <c r="H76">
        <v>0</v>
      </c>
      <c r="I76" s="4">
        <v>7</v>
      </c>
      <c r="J76" s="2">
        <f t="shared" si="4"/>
        <v>8</v>
      </c>
      <c r="K76" s="2">
        <f t="shared" si="5"/>
        <v>0.000617522192203782</v>
      </c>
      <c r="L76" s="2">
        <v>0.7908</v>
      </c>
      <c r="M76">
        <v>69.17</v>
      </c>
      <c r="N76">
        <v>10752</v>
      </c>
      <c r="O76" s="5">
        <v>218.34</v>
      </c>
      <c r="P76">
        <f t="shared" si="6"/>
        <v>10970.34</v>
      </c>
      <c r="Q76">
        <f t="shared" si="7"/>
        <v>0.846803550752605</v>
      </c>
      <c r="R76" s="1">
        <v>36000.52</v>
      </c>
      <c r="S76" s="4">
        <v>1244500</v>
      </c>
      <c r="T76">
        <v>28927.69787</v>
      </c>
    </row>
    <row r="77" spans="1:20">
      <c r="A77">
        <v>2019</v>
      </c>
      <c r="B77" t="s">
        <v>31</v>
      </c>
      <c r="C77">
        <v>76115</v>
      </c>
      <c r="D77">
        <v>22035</v>
      </c>
      <c r="E77">
        <f t="shared" si="8"/>
        <v>22035000</v>
      </c>
      <c r="F77">
        <f t="shared" si="9"/>
        <v>289.496157130658</v>
      </c>
      <c r="G77">
        <v>5</v>
      </c>
      <c r="H77">
        <v>0</v>
      </c>
      <c r="I77" s="4">
        <v>4</v>
      </c>
      <c r="J77" s="2">
        <f t="shared" si="4"/>
        <v>9</v>
      </c>
      <c r="K77" s="2">
        <f t="shared" si="5"/>
        <v>0.000118242133613611</v>
      </c>
      <c r="L77" s="2">
        <v>0.632</v>
      </c>
      <c r="M77">
        <v>63.67</v>
      </c>
      <c r="N77">
        <v>29453</v>
      </c>
      <c r="O77" s="5">
        <v>707.92</v>
      </c>
      <c r="P77">
        <f t="shared" si="6"/>
        <v>30160.92</v>
      </c>
      <c r="Q77">
        <f t="shared" si="7"/>
        <v>0.396254614727715</v>
      </c>
      <c r="R77" s="1">
        <v>85641.69</v>
      </c>
      <c r="S77">
        <v>3904400</v>
      </c>
      <c r="T77">
        <v>21934.6609</v>
      </c>
    </row>
    <row r="78" spans="1:20">
      <c r="A78">
        <v>2019</v>
      </c>
      <c r="B78" t="s">
        <v>32</v>
      </c>
      <c r="C78">
        <v>124450</v>
      </c>
      <c r="D78">
        <v>19793</v>
      </c>
      <c r="E78">
        <f t="shared" si="8"/>
        <v>19793000</v>
      </c>
      <c r="F78">
        <f t="shared" si="9"/>
        <v>159.043792687826</v>
      </c>
      <c r="G78">
        <v>8</v>
      </c>
      <c r="H78">
        <v>0</v>
      </c>
      <c r="I78" s="4">
        <v>4</v>
      </c>
      <c r="J78" s="2">
        <f t="shared" si="4"/>
        <v>12</v>
      </c>
      <c r="K78" s="2">
        <f t="shared" si="5"/>
        <v>9.64242667738047e-5</v>
      </c>
      <c r="L78" s="2">
        <v>0.7037</v>
      </c>
      <c r="M78">
        <v>69.08</v>
      </c>
      <c r="N78">
        <v>28473</v>
      </c>
      <c r="O78" s="5">
        <v>940.93</v>
      </c>
      <c r="P78">
        <f t="shared" si="6"/>
        <v>29413.93</v>
      </c>
      <c r="Q78">
        <f t="shared" si="7"/>
        <v>0.236351386098835</v>
      </c>
      <c r="R78" s="1">
        <v>136759.184</v>
      </c>
      <c r="S78">
        <v>2806000</v>
      </c>
      <c r="T78">
        <v>48738.12687</v>
      </c>
    </row>
    <row r="79" spans="1:20">
      <c r="A79">
        <v>2019</v>
      </c>
      <c r="B79" t="s">
        <v>33</v>
      </c>
      <c r="C79">
        <v>243</v>
      </c>
      <c r="D79">
        <v>22633</v>
      </c>
      <c r="E79">
        <f t="shared" si="8"/>
        <v>22633000</v>
      </c>
      <c r="F79">
        <f t="shared" si="9"/>
        <v>93139.9176954733</v>
      </c>
      <c r="G79">
        <v>2</v>
      </c>
      <c r="H79">
        <v>4</v>
      </c>
      <c r="I79" s="4">
        <v>8</v>
      </c>
      <c r="J79" s="2">
        <f t="shared" si="4"/>
        <v>14</v>
      </c>
      <c r="K79" s="2">
        <f t="shared" si="5"/>
        <v>0.0576131687242798</v>
      </c>
      <c r="L79" s="2">
        <v>0.5035</v>
      </c>
      <c r="M79">
        <v>58.67</v>
      </c>
      <c r="N79">
        <v>61967</v>
      </c>
      <c r="O79" s="5">
        <v>0</v>
      </c>
      <c r="P79">
        <f t="shared" si="6"/>
        <v>61967</v>
      </c>
      <c r="Q79">
        <f t="shared" si="7"/>
        <v>255.008230452675</v>
      </c>
      <c r="R79" s="1">
        <v>220940.121817675</v>
      </c>
      <c r="S79">
        <v>1782500</v>
      </c>
      <c r="T79">
        <v>123949.57746</v>
      </c>
    </row>
    <row r="80" spans="1:20">
      <c r="A80">
        <v>2019</v>
      </c>
      <c r="B80" t="s">
        <v>34</v>
      </c>
      <c r="C80">
        <v>91.64</v>
      </c>
      <c r="D80">
        <v>524</v>
      </c>
      <c r="E80">
        <f t="shared" si="8"/>
        <v>524000</v>
      </c>
      <c r="F80">
        <f t="shared" si="9"/>
        <v>5718.02706241816</v>
      </c>
      <c r="G80">
        <v>1</v>
      </c>
      <c r="H80">
        <v>0</v>
      </c>
      <c r="I80" s="4">
        <v>1</v>
      </c>
      <c r="J80" s="2">
        <f t="shared" si="4"/>
        <v>2</v>
      </c>
      <c r="K80" s="2">
        <f t="shared" si="5"/>
        <v>0.0218245307725884</v>
      </c>
      <c r="L80" s="2">
        <v>0.2852</v>
      </c>
      <c r="M80">
        <v>70.83</v>
      </c>
      <c r="N80">
        <v>2282</v>
      </c>
      <c r="O80" s="5">
        <v>97</v>
      </c>
      <c r="P80">
        <f t="shared" si="6"/>
        <v>2379</v>
      </c>
      <c r="Q80">
        <f t="shared" si="7"/>
        <v>25.9602793539939</v>
      </c>
      <c r="R80" s="1">
        <v>7623.268</v>
      </c>
      <c r="S80">
        <v>99300</v>
      </c>
      <c r="T80">
        <v>76770.07049</v>
      </c>
    </row>
    <row r="81" spans="1:20">
      <c r="A81">
        <v>2019</v>
      </c>
      <c r="B81" t="s">
        <v>35</v>
      </c>
      <c r="C81">
        <v>49</v>
      </c>
      <c r="D81">
        <v>1949</v>
      </c>
      <c r="E81">
        <f t="shared" si="8"/>
        <v>1949000</v>
      </c>
      <c r="F81">
        <f t="shared" si="9"/>
        <v>39775.5102040816</v>
      </c>
      <c r="G81">
        <v>0</v>
      </c>
      <c r="H81">
        <v>0</v>
      </c>
      <c r="I81">
        <v>1</v>
      </c>
      <c r="J81" s="2">
        <f t="shared" si="4"/>
        <v>1</v>
      </c>
      <c r="K81" s="2">
        <f t="shared" si="5"/>
        <v>0.0204081632653061</v>
      </c>
      <c r="L81" s="2">
        <v>0.3947</v>
      </c>
      <c r="M81">
        <v>80.42</v>
      </c>
      <c r="N81">
        <v>1551</v>
      </c>
      <c r="O81" s="5">
        <v>0</v>
      </c>
      <c r="P81">
        <f t="shared" si="6"/>
        <v>1551</v>
      </c>
      <c r="Q81">
        <f t="shared" si="7"/>
        <v>31.6530612244898</v>
      </c>
      <c r="R81" s="1">
        <v>12853.5711823242</v>
      </c>
      <c r="S81">
        <v>103700</v>
      </c>
      <c r="T81">
        <v>123949.57746</v>
      </c>
    </row>
    <row r="82" spans="1:20">
      <c r="A82">
        <v>2020</v>
      </c>
      <c r="B82" t="s">
        <v>20</v>
      </c>
      <c r="C82">
        <v>19210</v>
      </c>
      <c r="D82">
        <v>7243</v>
      </c>
      <c r="E82">
        <f t="shared" si="8"/>
        <v>7243000</v>
      </c>
      <c r="F82">
        <f t="shared" si="9"/>
        <v>377.043206663196</v>
      </c>
      <c r="G82">
        <v>1</v>
      </c>
      <c r="H82">
        <v>0</v>
      </c>
      <c r="I82" s="4">
        <v>24</v>
      </c>
      <c r="J82" s="2">
        <f t="shared" si="4"/>
        <v>25</v>
      </c>
      <c r="K82" s="2">
        <f t="shared" si="5"/>
        <v>0.0013014055179594</v>
      </c>
      <c r="L82" s="2">
        <v>0.3923</v>
      </c>
      <c r="M82">
        <v>69.17</v>
      </c>
      <c r="N82">
        <v>33487</v>
      </c>
      <c r="O82" s="5">
        <v>745.87</v>
      </c>
      <c r="P82">
        <f t="shared" si="6"/>
        <v>34232.87</v>
      </c>
      <c r="Q82">
        <f t="shared" si="7"/>
        <v>1.78203383654347</v>
      </c>
      <c r="R82" s="1">
        <v>128073.564</v>
      </c>
      <c r="S82">
        <v>4009700</v>
      </c>
      <c r="T82">
        <v>31940.93423</v>
      </c>
    </row>
    <row r="83" spans="1:20">
      <c r="A83">
        <v>2020</v>
      </c>
      <c r="B83" t="s">
        <v>21</v>
      </c>
      <c r="C83">
        <v>9427</v>
      </c>
      <c r="D83">
        <v>10108</v>
      </c>
      <c r="E83">
        <f t="shared" si="8"/>
        <v>10108000</v>
      </c>
      <c r="F83">
        <f t="shared" si="9"/>
        <v>1072.23931261271</v>
      </c>
      <c r="G83">
        <v>2</v>
      </c>
      <c r="H83">
        <v>4</v>
      </c>
      <c r="I83" s="4">
        <v>8</v>
      </c>
      <c r="J83" s="2">
        <f t="shared" ref="J83:J114" si="10">G83+H83+I83</f>
        <v>14</v>
      </c>
      <c r="K83" s="2">
        <f t="shared" ref="K83:K114" si="11">J83/C83</f>
        <v>0.00148509600084863</v>
      </c>
      <c r="L83" s="2">
        <v>0.4998</v>
      </c>
      <c r="M83">
        <v>71.42</v>
      </c>
      <c r="N83">
        <v>19539</v>
      </c>
      <c r="O83" s="5">
        <v>456.09</v>
      </c>
      <c r="P83">
        <f t="shared" ref="P83:P114" si="12">N83+O83</f>
        <v>19995.09</v>
      </c>
      <c r="Q83">
        <f t="shared" ref="Q83:Q114" si="13">P83/C83</f>
        <v>2.12104487111488</v>
      </c>
      <c r="R83" s="1">
        <v>46042.458</v>
      </c>
      <c r="S83">
        <v>2131400</v>
      </c>
      <c r="T83">
        <v>21601.97898</v>
      </c>
    </row>
    <row r="84" spans="1:20">
      <c r="A84">
        <v>2020</v>
      </c>
      <c r="B84" t="s">
        <v>22</v>
      </c>
      <c r="C84">
        <v>15099</v>
      </c>
      <c r="D84">
        <v>6058</v>
      </c>
      <c r="E84">
        <f t="shared" si="8"/>
        <v>6058000</v>
      </c>
      <c r="F84">
        <f t="shared" si="9"/>
        <v>401.218623749917</v>
      </c>
      <c r="G84">
        <v>1</v>
      </c>
      <c r="H84">
        <v>0</v>
      </c>
      <c r="I84" s="4">
        <v>7</v>
      </c>
      <c r="J84" s="2">
        <f t="shared" si="10"/>
        <v>8</v>
      </c>
      <c r="K84" s="2">
        <f t="shared" si="11"/>
        <v>0.000529836413007484</v>
      </c>
      <c r="L84" s="2">
        <v>0.7674</v>
      </c>
      <c r="M84">
        <v>73.42</v>
      </c>
      <c r="N84">
        <v>5873</v>
      </c>
      <c r="O84" s="5">
        <v>182</v>
      </c>
      <c r="P84">
        <f t="shared" si="12"/>
        <v>6055</v>
      </c>
      <c r="Q84">
        <f t="shared" si="13"/>
        <v>0.401019935095039</v>
      </c>
      <c r="R84" s="1">
        <v>25187.708</v>
      </c>
      <c r="S84">
        <v>1792500</v>
      </c>
      <c r="T84">
        <v>14051.71994</v>
      </c>
    </row>
    <row r="85" spans="1:20">
      <c r="A85">
        <v>2020</v>
      </c>
      <c r="B85" t="s">
        <v>23</v>
      </c>
      <c r="C85">
        <v>1720</v>
      </c>
      <c r="D85">
        <v>7275</v>
      </c>
      <c r="E85">
        <f t="shared" si="8"/>
        <v>7275000</v>
      </c>
      <c r="F85">
        <f t="shared" si="9"/>
        <v>4229.6511627907</v>
      </c>
      <c r="G85">
        <v>1</v>
      </c>
      <c r="H85">
        <v>2</v>
      </c>
      <c r="I85" s="4">
        <v>2</v>
      </c>
      <c r="J85" s="2">
        <f t="shared" si="10"/>
        <v>5</v>
      </c>
      <c r="K85" s="2">
        <f t="shared" si="11"/>
        <v>0.00290697674418605</v>
      </c>
      <c r="L85" s="2">
        <v>0.3588</v>
      </c>
      <c r="M85">
        <v>70.58</v>
      </c>
      <c r="N85">
        <v>20374</v>
      </c>
      <c r="O85" s="5">
        <v>217</v>
      </c>
      <c r="P85">
        <f t="shared" si="12"/>
        <v>20591</v>
      </c>
      <c r="Q85">
        <f t="shared" si="13"/>
        <v>11.971511627907</v>
      </c>
      <c r="R85" s="1">
        <v>41030.449</v>
      </c>
      <c r="S85">
        <v>998400</v>
      </c>
      <c r="T85">
        <v>41096.20292</v>
      </c>
    </row>
    <row r="86" spans="1:20">
      <c r="A86">
        <v>2020</v>
      </c>
      <c r="B86" t="s">
        <v>24</v>
      </c>
      <c r="C86">
        <v>6686</v>
      </c>
      <c r="D86">
        <v>7918</v>
      </c>
      <c r="E86">
        <f t="shared" si="8"/>
        <v>7918000</v>
      </c>
      <c r="F86">
        <f t="shared" si="9"/>
        <v>1184.26562967395</v>
      </c>
      <c r="G86">
        <v>0</v>
      </c>
      <c r="H86">
        <v>2</v>
      </c>
      <c r="I86" s="4">
        <v>5</v>
      </c>
      <c r="J86" s="2">
        <f t="shared" si="10"/>
        <v>7</v>
      </c>
      <c r="K86" s="2">
        <f t="shared" si="11"/>
        <v>0.0010469638049656</v>
      </c>
      <c r="L86" s="2">
        <v>0.5751</v>
      </c>
      <c r="M86">
        <v>19.83</v>
      </c>
      <c r="N86">
        <v>12769</v>
      </c>
      <c r="O86" s="5">
        <v>453.12</v>
      </c>
      <c r="P86">
        <f t="shared" si="12"/>
        <v>13222.12</v>
      </c>
      <c r="Q86">
        <f t="shared" si="13"/>
        <v>1.97758300927311</v>
      </c>
      <c r="R86" s="1">
        <v>46336.101</v>
      </c>
      <c r="S86">
        <v>1200000</v>
      </c>
      <c r="T86">
        <v>38613.4175</v>
      </c>
    </row>
    <row r="87" spans="1:20">
      <c r="A87">
        <v>2020</v>
      </c>
      <c r="B87" t="s">
        <v>25</v>
      </c>
      <c r="C87">
        <v>35965</v>
      </c>
      <c r="D87">
        <v>9905</v>
      </c>
      <c r="E87">
        <f t="shared" si="8"/>
        <v>9905000</v>
      </c>
      <c r="F87">
        <f t="shared" si="9"/>
        <v>275.406645349645</v>
      </c>
      <c r="G87">
        <v>1</v>
      </c>
      <c r="H87">
        <v>0</v>
      </c>
      <c r="I87" s="4">
        <v>16</v>
      </c>
      <c r="J87" s="2">
        <f t="shared" si="10"/>
        <v>17</v>
      </c>
      <c r="K87" s="2">
        <f t="shared" si="11"/>
        <v>0.000472681773946893</v>
      </c>
      <c r="L87" s="2">
        <v>0.7353</v>
      </c>
      <c r="M87">
        <v>31.17</v>
      </c>
      <c r="N87">
        <v>31175</v>
      </c>
      <c r="O87" s="5">
        <v>463.93</v>
      </c>
      <c r="P87">
        <f t="shared" si="12"/>
        <v>31638.93</v>
      </c>
      <c r="Q87">
        <f t="shared" si="13"/>
        <v>0.879714444598916</v>
      </c>
      <c r="R87" s="1">
        <v>54885.462</v>
      </c>
      <c r="S87">
        <v>1591300</v>
      </c>
      <c r="T87">
        <v>34490.95834</v>
      </c>
    </row>
    <row r="88" spans="1:20">
      <c r="A88">
        <v>2020</v>
      </c>
      <c r="B88" t="s">
        <v>26</v>
      </c>
      <c r="C88">
        <v>1031</v>
      </c>
      <c r="D88">
        <v>8929</v>
      </c>
      <c r="E88">
        <f t="shared" si="8"/>
        <v>8929000</v>
      </c>
      <c r="F88">
        <f t="shared" si="9"/>
        <v>8660.52376333657</v>
      </c>
      <c r="G88">
        <v>1</v>
      </c>
      <c r="H88">
        <v>4</v>
      </c>
      <c r="I88" s="4">
        <v>5</v>
      </c>
      <c r="J88" s="2">
        <f t="shared" si="10"/>
        <v>10</v>
      </c>
      <c r="K88" s="2">
        <f t="shared" si="11"/>
        <v>0.00969932104752667</v>
      </c>
      <c r="L88" s="2">
        <v>0.2522</v>
      </c>
      <c r="M88">
        <v>64.92</v>
      </c>
      <c r="N88">
        <v>22840</v>
      </c>
      <c r="O88" s="5">
        <v>274.15</v>
      </c>
      <c r="P88">
        <f t="shared" si="12"/>
        <v>23114.15</v>
      </c>
      <c r="Q88">
        <f t="shared" si="13"/>
        <v>22.4191561590689</v>
      </c>
      <c r="R88" s="1">
        <v>92690.682</v>
      </c>
      <c r="S88">
        <v>1740400</v>
      </c>
      <c r="T88">
        <v>53258.26362</v>
      </c>
    </row>
    <row r="89" spans="1:20">
      <c r="A89">
        <v>2020</v>
      </c>
      <c r="B89" t="s">
        <v>27</v>
      </c>
      <c r="C89">
        <v>21035</v>
      </c>
      <c r="D89">
        <v>13173</v>
      </c>
      <c r="E89">
        <f t="shared" si="8"/>
        <v>13173000</v>
      </c>
      <c r="F89">
        <f t="shared" si="9"/>
        <v>626.241977656287</v>
      </c>
      <c r="G89">
        <v>1</v>
      </c>
      <c r="H89">
        <v>12</v>
      </c>
      <c r="I89" s="4">
        <v>13</v>
      </c>
      <c r="J89" s="2">
        <f t="shared" si="10"/>
        <v>26</v>
      </c>
      <c r="K89" s="2">
        <f t="shared" si="11"/>
        <v>0.0012360351794628</v>
      </c>
      <c r="L89" s="2">
        <v>0.6631</v>
      </c>
      <c r="M89">
        <v>80</v>
      </c>
      <c r="N89">
        <v>19116</v>
      </c>
      <c r="O89" s="5">
        <v>409</v>
      </c>
      <c r="P89">
        <f t="shared" si="12"/>
        <v>19525</v>
      </c>
      <c r="Q89">
        <f t="shared" si="13"/>
        <v>0.928214879961968</v>
      </c>
      <c r="R89" s="1">
        <v>74263.987</v>
      </c>
      <c r="S89">
        <v>2496000</v>
      </c>
      <c r="T89">
        <v>29753.19992</v>
      </c>
    </row>
    <row r="90" spans="1:20">
      <c r="A90">
        <v>2020</v>
      </c>
      <c r="B90" t="s">
        <v>28</v>
      </c>
      <c r="C90">
        <v>821</v>
      </c>
      <c r="D90">
        <v>1193</v>
      </c>
      <c r="E90">
        <f t="shared" si="8"/>
        <v>1193000</v>
      </c>
      <c r="F90">
        <f t="shared" si="9"/>
        <v>1453.1059683313</v>
      </c>
      <c r="G90">
        <v>0</v>
      </c>
      <c r="H90">
        <v>2</v>
      </c>
      <c r="I90" s="4">
        <v>2</v>
      </c>
      <c r="J90" s="2">
        <f t="shared" si="10"/>
        <v>4</v>
      </c>
      <c r="K90" s="2">
        <f t="shared" si="11"/>
        <v>0.0048721071863581</v>
      </c>
      <c r="L90" s="2">
        <v>0.3868</v>
      </c>
      <c r="M90">
        <v>52.92</v>
      </c>
      <c r="N90">
        <v>1445</v>
      </c>
      <c r="O90" s="5">
        <v>64</v>
      </c>
      <c r="P90">
        <f t="shared" si="12"/>
        <v>1509</v>
      </c>
      <c r="Q90">
        <f t="shared" si="13"/>
        <v>1.83800243605359</v>
      </c>
      <c r="R90" s="1">
        <v>5785.067</v>
      </c>
      <c r="S90">
        <v>284900</v>
      </c>
      <c r="T90">
        <v>20305.60548</v>
      </c>
    </row>
    <row r="91" spans="1:20">
      <c r="A91">
        <v>2020</v>
      </c>
      <c r="B91" t="s">
        <v>29</v>
      </c>
      <c r="C91">
        <v>8104</v>
      </c>
      <c r="D91">
        <v>19715</v>
      </c>
      <c r="E91">
        <f t="shared" si="8"/>
        <v>19715000</v>
      </c>
      <c r="F91">
        <f t="shared" si="9"/>
        <v>2432.74925962488</v>
      </c>
      <c r="G91">
        <v>1</v>
      </c>
      <c r="H91">
        <v>5</v>
      </c>
      <c r="I91" s="4">
        <v>9</v>
      </c>
      <c r="J91" s="2">
        <f t="shared" si="10"/>
        <v>15</v>
      </c>
      <c r="K91" s="2">
        <f t="shared" si="11"/>
        <v>0.00185093780848963</v>
      </c>
      <c r="L91" s="2">
        <v>0.2838</v>
      </c>
      <c r="M91">
        <v>69.5</v>
      </c>
      <c r="N91">
        <v>34610</v>
      </c>
      <c r="O91" s="5">
        <v>713</v>
      </c>
      <c r="P91">
        <f t="shared" si="12"/>
        <v>35323</v>
      </c>
      <c r="Q91">
        <f t="shared" si="13"/>
        <v>4.35871174728529</v>
      </c>
      <c r="R91" s="1">
        <v>326805.3</v>
      </c>
      <c r="S91">
        <v>6994400</v>
      </c>
      <c r="T91">
        <v>46723.85051</v>
      </c>
    </row>
    <row r="92" spans="1:20">
      <c r="A92">
        <v>2020</v>
      </c>
      <c r="B92" t="s">
        <v>30</v>
      </c>
      <c r="C92">
        <v>12955</v>
      </c>
      <c r="D92">
        <v>7420</v>
      </c>
      <c r="E92">
        <f t="shared" si="8"/>
        <v>7420000</v>
      </c>
      <c r="F92">
        <f t="shared" si="9"/>
        <v>572.751833269008</v>
      </c>
      <c r="G92">
        <v>2</v>
      </c>
      <c r="H92">
        <v>0</v>
      </c>
      <c r="I92" s="4">
        <v>7</v>
      </c>
      <c r="J92" s="2">
        <f t="shared" si="10"/>
        <v>9</v>
      </c>
      <c r="K92" s="2">
        <f t="shared" si="11"/>
        <v>0.000694712466229255</v>
      </c>
      <c r="L92" s="2">
        <v>0.8091</v>
      </c>
      <c r="M92">
        <v>60.25</v>
      </c>
      <c r="N92">
        <v>10918</v>
      </c>
      <c r="O92" s="5">
        <v>225.41</v>
      </c>
      <c r="P92">
        <f t="shared" si="12"/>
        <v>11143.41</v>
      </c>
      <c r="Q92">
        <f t="shared" si="13"/>
        <v>0.860162871478194</v>
      </c>
      <c r="R92" s="1">
        <v>33994.032</v>
      </c>
      <c r="S92">
        <v>1149400</v>
      </c>
      <c r="T92">
        <v>29575.4585</v>
      </c>
    </row>
    <row r="93" spans="1:20">
      <c r="A93">
        <v>2020</v>
      </c>
      <c r="B93" t="s">
        <v>31</v>
      </c>
      <c r="C93">
        <v>76115</v>
      </c>
      <c r="D93">
        <v>10337</v>
      </c>
      <c r="E93">
        <f t="shared" si="8"/>
        <v>10337000</v>
      </c>
      <c r="F93">
        <f t="shared" si="9"/>
        <v>135.807659462655</v>
      </c>
      <c r="G93">
        <v>5</v>
      </c>
      <c r="H93">
        <v>0</v>
      </c>
      <c r="I93" s="4">
        <v>4</v>
      </c>
      <c r="J93" s="2">
        <f t="shared" si="10"/>
        <v>9</v>
      </c>
      <c r="K93" s="2">
        <f t="shared" si="11"/>
        <v>0.000118242133613611</v>
      </c>
      <c r="L93" s="2">
        <v>0.6364</v>
      </c>
      <c r="M93">
        <v>66.42</v>
      </c>
      <c r="N93">
        <v>28232</v>
      </c>
      <c r="O93" s="5">
        <v>707.92</v>
      </c>
      <c r="P93">
        <f t="shared" si="12"/>
        <v>28939.92</v>
      </c>
      <c r="Q93">
        <f t="shared" si="13"/>
        <v>0.380213098600801</v>
      </c>
      <c r="R93" s="1">
        <v>77840.052</v>
      </c>
      <c r="S93">
        <v>3418800</v>
      </c>
      <c r="T93">
        <v>22768.23798</v>
      </c>
    </row>
    <row r="94" spans="1:20">
      <c r="A94">
        <v>2020</v>
      </c>
      <c r="B94" t="s">
        <v>32</v>
      </c>
      <c r="C94">
        <v>124450</v>
      </c>
      <c r="D94">
        <v>9393</v>
      </c>
      <c r="E94">
        <f t="shared" si="8"/>
        <v>9393000</v>
      </c>
      <c r="F94">
        <f t="shared" si="9"/>
        <v>75.4760948171957</v>
      </c>
      <c r="G94">
        <v>8</v>
      </c>
      <c r="H94">
        <v>0</v>
      </c>
      <c r="I94" s="4">
        <v>4</v>
      </c>
      <c r="J94" s="2">
        <f t="shared" si="10"/>
        <v>12</v>
      </c>
      <c r="K94" s="2">
        <f t="shared" si="11"/>
        <v>9.64242667738047e-5</v>
      </c>
      <c r="L94" s="2">
        <v>0.6697</v>
      </c>
      <c r="M94">
        <v>77.17</v>
      </c>
      <c r="N94">
        <v>28511</v>
      </c>
      <c r="O94" s="5">
        <v>940.93</v>
      </c>
      <c r="P94">
        <f t="shared" si="12"/>
        <v>29451.93</v>
      </c>
      <c r="Q94">
        <f t="shared" si="13"/>
        <v>0.236656729610285</v>
      </c>
      <c r="R94" s="1">
        <v>127556.288</v>
      </c>
      <c r="S94">
        <v>2453700</v>
      </c>
      <c r="T94">
        <v>51985.28263</v>
      </c>
    </row>
    <row r="95" spans="1:20">
      <c r="A95">
        <v>2020</v>
      </c>
      <c r="B95" t="s">
        <v>33</v>
      </c>
      <c r="C95">
        <v>243</v>
      </c>
      <c r="D95">
        <v>12435</v>
      </c>
      <c r="E95">
        <f t="shared" si="8"/>
        <v>12435000</v>
      </c>
      <c r="F95">
        <f t="shared" si="9"/>
        <v>51172.8395061728</v>
      </c>
      <c r="G95">
        <v>2</v>
      </c>
      <c r="H95">
        <v>4</v>
      </c>
      <c r="I95" s="4">
        <v>8</v>
      </c>
      <c r="J95" s="2">
        <f t="shared" si="10"/>
        <v>14</v>
      </c>
      <c r="K95" s="2">
        <f t="shared" si="11"/>
        <v>0.0576131687242798</v>
      </c>
      <c r="L95" s="2">
        <v>0.495</v>
      </c>
      <c r="M95">
        <v>38.25</v>
      </c>
      <c r="N95">
        <v>60095</v>
      </c>
      <c r="O95" s="5">
        <v>0</v>
      </c>
      <c r="P95">
        <f t="shared" si="12"/>
        <v>60095</v>
      </c>
      <c r="Q95">
        <f t="shared" si="13"/>
        <v>247.304526748971</v>
      </c>
      <c r="R95" s="1">
        <v>206092.757581552</v>
      </c>
      <c r="S95">
        <v>1982100</v>
      </c>
      <c r="T95">
        <v>103976.9727</v>
      </c>
    </row>
    <row r="96" spans="1:20">
      <c r="A96">
        <v>2020</v>
      </c>
      <c r="B96" t="s">
        <v>34</v>
      </c>
      <c r="C96">
        <v>91.64</v>
      </c>
      <c r="D96">
        <v>107</v>
      </c>
      <c r="E96">
        <f t="shared" si="8"/>
        <v>107000</v>
      </c>
      <c r="F96">
        <f t="shared" si="9"/>
        <v>1167.61239633348</v>
      </c>
      <c r="G96">
        <v>1</v>
      </c>
      <c r="H96">
        <v>0</v>
      </c>
      <c r="I96" s="4">
        <v>1</v>
      </c>
      <c r="J96" s="2">
        <f t="shared" si="10"/>
        <v>2</v>
      </c>
      <c r="K96" s="2">
        <f t="shared" si="11"/>
        <v>0.0218245307725884</v>
      </c>
      <c r="L96" s="2">
        <v>0.5109</v>
      </c>
      <c r="M96">
        <v>65.25</v>
      </c>
      <c r="N96">
        <v>2282</v>
      </c>
      <c r="O96" s="5">
        <v>97</v>
      </c>
      <c r="P96">
        <f t="shared" si="12"/>
        <v>2379</v>
      </c>
      <c r="Q96">
        <f t="shared" si="13"/>
        <v>25.9602793539939</v>
      </c>
      <c r="R96" s="1">
        <v>7613.361</v>
      </c>
      <c r="S96">
        <v>95100</v>
      </c>
      <c r="T96">
        <v>80056.37224</v>
      </c>
    </row>
    <row r="97" spans="1:20">
      <c r="A97">
        <v>2020</v>
      </c>
      <c r="B97" t="s">
        <v>35</v>
      </c>
      <c r="C97">
        <v>49</v>
      </c>
      <c r="D97">
        <v>451</v>
      </c>
      <c r="E97">
        <f t="shared" si="8"/>
        <v>451000</v>
      </c>
      <c r="F97">
        <f t="shared" si="9"/>
        <v>9204.08163265306</v>
      </c>
      <c r="G97">
        <v>0</v>
      </c>
      <c r="H97">
        <v>0</v>
      </c>
      <c r="I97">
        <v>1</v>
      </c>
      <c r="J97" s="2">
        <f t="shared" si="10"/>
        <v>1</v>
      </c>
      <c r="K97" s="2">
        <f t="shared" si="11"/>
        <v>0.0204081632653061</v>
      </c>
      <c r="L97" s="2">
        <v>0.3868</v>
      </c>
      <c r="M97">
        <v>64.42</v>
      </c>
      <c r="N97">
        <v>1551</v>
      </c>
      <c r="O97" s="5">
        <v>0</v>
      </c>
      <c r="P97">
        <f t="shared" si="12"/>
        <v>1551</v>
      </c>
      <c r="Q97">
        <f t="shared" si="13"/>
        <v>31.6530612244898</v>
      </c>
      <c r="R97" s="1">
        <v>11354.2854184478</v>
      </c>
      <c r="S97">
        <v>109200</v>
      </c>
      <c r="T97">
        <v>103976.9727</v>
      </c>
    </row>
    <row r="98" spans="1:20">
      <c r="A98">
        <v>2021</v>
      </c>
      <c r="B98" t="s">
        <v>20</v>
      </c>
      <c r="C98">
        <v>19210</v>
      </c>
      <c r="D98">
        <v>3657.55</v>
      </c>
      <c r="E98">
        <f t="shared" si="8"/>
        <v>3657550</v>
      </c>
      <c r="F98">
        <f t="shared" si="9"/>
        <v>190.398230088496</v>
      </c>
      <c r="G98">
        <v>1</v>
      </c>
      <c r="H98">
        <v>0</v>
      </c>
      <c r="I98" s="4">
        <v>24</v>
      </c>
      <c r="J98" s="2">
        <f t="shared" si="10"/>
        <v>25</v>
      </c>
      <c r="K98" s="2">
        <f t="shared" si="11"/>
        <v>0.0013014055179594</v>
      </c>
      <c r="L98" s="2">
        <v>0.3943</v>
      </c>
      <c r="M98">
        <v>56.58</v>
      </c>
      <c r="N98">
        <v>35186</v>
      </c>
      <c r="O98" s="5">
        <v>745.87</v>
      </c>
      <c r="P98">
        <f t="shared" si="12"/>
        <v>35931.87</v>
      </c>
      <c r="Q98">
        <f t="shared" si="13"/>
        <v>1.87047735554399</v>
      </c>
      <c r="R98" s="1">
        <v>131242.981</v>
      </c>
      <c r="S98">
        <v>4020000</v>
      </c>
      <c r="T98">
        <v>32647.50771</v>
      </c>
    </row>
    <row r="99" spans="1:20">
      <c r="A99">
        <v>2021</v>
      </c>
      <c r="B99" t="s">
        <v>21</v>
      </c>
      <c r="C99">
        <v>9427</v>
      </c>
      <c r="D99">
        <v>4023.002</v>
      </c>
      <c r="E99">
        <f t="shared" ref="E99:E130" si="14">D99*1000</f>
        <v>4023002</v>
      </c>
      <c r="F99">
        <f t="shared" ref="F99:F130" si="15">E99/C99</f>
        <v>426.753155829002</v>
      </c>
      <c r="G99">
        <v>2</v>
      </c>
      <c r="H99">
        <v>4</v>
      </c>
      <c r="I99" s="4">
        <v>8</v>
      </c>
      <c r="J99" s="2">
        <f t="shared" si="10"/>
        <v>14</v>
      </c>
      <c r="K99" s="2">
        <f t="shared" si="11"/>
        <v>0.00148509600084863</v>
      </c>
      <c r="L99" s="2">
        <v>0.488</v>
      </c>
      <c r="M99">
        <v>70.25</v>
      </c>
      <c r="N99">
        <v>18548</v>
      </c>
      <c r="O99" s="5">
        <v>456.09</v>
      </c>
      <c r="P99">
        <f t="shared" si="12"/>
        <v>19004.09</v>
      </c>
      <c r="Q99">
        <f t="shared" si="13"/>
        <v>2.01592128991195</v>
      </c>
      <c r="R99" s="1">
        <v>47505.068</v>
      </c>
      <c r="S99">
        <v>2151700</v>
      </c>
      <c r="T99">
        <v>22077.9235</v>
      </c>
    </row>
    <row r="100" spans="1:20">
      <c r="A100">
        <v>2021</v>
      </c>
      <c r="B100" t="s">
        <v>22</v>
      </c>
      <c r="C100">
        <v>15099</v>
      </c>
      <c r="D100">
        <v>1920.93</v>
      </c>
      <c r="E100">
        <f t="shared" si="14"/>
        <v>1920930</v>
      </c>
      <c r="F100">
        <f t="shared" si="15"/>
        <v>127.222332604808</v>
      </c>
      <c r="G100">
        <v>1</v>
      </c>
      <c r="H100">
        <v>0</v>
      </c>
      <c r="I100" s="4">
        <v>7</v>
      </c>
      <c r="J100" s="2">
        <f t="shared" si="10"/>
        <v>8</v>
      </c>
      <c r="K100" s="2">
        <f t="shared" si="11"/>
        <v>0.000529836413007484</v>
      </c>
      <c r="L100" s="2">
        <v>0.7721</v>
      </c>
      <c r="M100">
        <v>71.33</v>
      </c>
      <c r="N100">
        <v>6096</v>
      </c>
      <c r="O100" s="5">
        <v>182</v>
      </c>
      <c r="P100">
        <f t="shared" si="12"/>
        <v>6278</v>
      </c>
      <c r="Q100">
        <f t="shared" si="13"/>
        <v>0.415789125107623</v>
      </c>
      <c r="R100" s="1">
        <v>25781.895</v>
      </c>
      <c r="S100">
        <v>1812300</v>
      </c>
      <c r="T100">
        <v>14226.06357</v>
      </c>
    </row>
    <row r="101" spans="1:20">
      <c r="A101">
        <v>2021</v>
      </c>
      <c r="B101" t="s">
        <v>23</v>
      </c>
      <c r="C101">
        <v>1720</v>
      </c>
      <c r="D101">
        <v>3878.14</v>
      </c>
      <c r="E101">
        <f t="shared" si="14"/>
        <v>3878140</v>
      </c>
      <c r="F101">
        <f t="shared" si="15"/>
        <v>2254.73255813953</v>
      </c>
      <c r="G101">
        <v>0</v>
      </c>
      <c r="H101">
        <v>2</v>
      </c>
      <c r="I101" s="4">
        <v>2</v>
      </c>
      <c r="J101" s="2">
        <f t="shared" si="10"/>
        <v>4</v>
      </c>
      <c r="K101" s="2">
        <f t="shared" si="11"/>
        <v>0.00232558139534884</v>
      </c>
      <c r="L101" s="2">
        <v>0.4129</v>
      </c>
      <c r="M101">
        <v>62.67</v>
      </c>
      <c r="N101">
        <v>19581</v>
      </c>
      <c r="O101" s="5">
        <v>218.58</v>
      </c>
      <c r="P101">
        <f t="shared" si="12"/>
        <v>19799.58</v>
      </c>
      <c r="Q101">
        <f t="shared" si="13"/>
        <v>11.5113837209302</v>
      </c>
      <c r="R101" s="1">
        <v>41871.632</v>
      </c>
      <c r="S101">
        <v>1004500</v>
      </c>
      <c r="T101">
        <v>41684.05376</v>
      </c>
    </row>
    <row r="102" spans="1:20">
      <c r="A102">
        <v>2021</v>
      </c>
      <c r="B102" t="s">
        <v>24</v>
      </c>
      <c r="C102">
        <v>6686</v>
      </c>
      <c r="D102">
        <v>5485.17</v>
      </c>
      <c r="E102">
        <f t="shared" si="14"/>
        <v>5485170</v>
      </c>
      <c r="F102">
        <f t="shared" si="15"/>
        <v>820.396350583308</v>
      </c>
      <c r="G102">
        <v>0</v>
      </c>
      <c r="H102">
        <v>2</v>
      </c>
      <c r="I102" s="4">
        <v>5</v>
      </c>
      <c r="J102" s="2">
        <f t="shared" si="10"/>
        <v>7</v>
      </c>
      <c r="K102" s="2">
        <f t="shared" si="11"/>
        <v>0.0010469638049656</v>
      </c>
      <c r="L102" s="2">
        <v>0.6208</v>
      </c>
      <c r="M102">
        <v>21.67</v>
      </c>
      <c r="N102">
        <v>11096</v>
      </c>
      <c r="O102" s="5">
        <v>453.12</v>
      </c>
      <c r="P102">
        <f t="shared" si="12"/>
        <v>11549.12</v>
      </c>
      <c r="Q102">
        <f t="shared" si="13"/>
        <v>1.72735865988633</v>
      </c>
      <c r="R102" s="1">
        <v>47787.092</v>
      </c>
      <c r="S102">
        <v>1204200</v>
      </c>
      <c r="T102">
        <v>39683.68377</v>
      </c>
    </row>
    <row r="103" spans="1:20">
      <c r="A103">
        <v>2021</v>
      </c>
      <c r="B103" t="s">
        <v>25</v>
      </c>
      <c r="C103">
        <v>35965</v>
      </c>
      <c r="D103">
        <v>3404.772</v>
      </c>
      <c r="E103">
        <f t="shared" si="14"/>
        <v>3404772</v>
      </c>
      <c r="F103">
        <f t="shared" si="15"/>
        <v>94.6690393438065</v>
      </c>
      <c r="G103">
        <v>2</v>
      </c>
      <c r="H103">
        <v>0</v>
      </c>
      <c r="I103" s="4">
        <v>16</v>
      </c>
      <c r="J103" s="2">
        <f t="shared" si="10"/>
        <v>18</v>
      </c>
      <c r="K103" s="2">
        <f t="shared" si="11"/>
        <v>0.000500486584179063</v>
      </c>
      <c r="L103" s="2">
        <v>0.8344</v>
      </c>
      <c r="M103">
        <v>35.58</v>
      </c>
      <c r="N103">
        <v>33603</v>
      </c>
      <c r="O103" s="5">
        <v>463.93</v>
      </c>
      <c r="P103">
        <f t="shared" si="12"/>
        <v>34066.93</v>
      </c>
      <c r="Q103">
        <f t="shared" si="13"/>
        <v>0.947224523842625</v>
      </c>
      <c r="R103" s="1">
        <v>55440.104</v>
      </c>
      <c r="S103">
        <v>1601500</v>
      </c>
      <c r="T103">
        <v>34617.61099</v>
      </c>
    </row>
    <row r="104" spans="1:20">
      <c r="A104">
        <v>2021</v>
      </c>
      <c r="B104" t="s">
        <v>26</v>
      </c>
      <c r="C104">
        <v>1031</v>
      </c>
      <c r="D104">
        <v>5060.864</v>
      </c>
      <c r="E104">
        <f t="shared" si="14"/>
        <v>5060864</v>
      </c>
      <c r="F104">
        <f t="shared" si="15"/>
        <v>4908.694471387</v>
      </c>
      <c r="G104">
        <v>1</v>
      </c>
      <c r="H104">
        <v>4</v>
      </c>
      <c r="I104" s="4">
        <v>5</v>
      </c>
      <c r="J104" s="2">
        <f t="shared" si="10"/>
        <v>10</v>
      </c>
      <c r="K104" s="2">
        <f t="shared" si="11"/>
        <v>0.00969932104752667</v>
      </c>
      <c r="L104" s="2">
        <v>0.2604</v>
      </c>
      <c r="M104">
        <v>54.33</v>
      </c>
      <c r="N104">
        <v>20558</v>
      </c>
      <c r="O104" s="5">
        <v>277.54</v>
      </c>
      <c r="P104">
        <f t="shared" si="12"/>
        <v>20835.54</v>
      </c>
      <c r="Q104">
        <f t="shared" si="13"/>
        <v>20.2090591658584</v>
      </c>
      <c r="R104" s="1">
        <v>99123.944</v>
      </c>
      <c r="S104">
        <v>1740000</v>
      </c>
      <c r="T104">
        <v>56967.78391</v>
      </c>
    </row>
    <row r="105" spans="1:20">
      <c r="A105">
        <v>2021</v>
      </c>
      <c r="B105" t="s">
        <v>27</v>
      </c>
      <c r="C105">
        <v>21035</v>
      </c>
      <c r="D105">
        <v>4489.273</v>
      </c>
      <c r="E105">
        <f t="shared" si="14"/>
        <v>4489273</v>
      </c>
      <c r="F105">
        <f t="shared" si="15"/>
        <v>213.419206085096</v>
      </c>
      <c r="G105">
        <v>2</v>
      </c>
      <c r="H105">
        <v>12</v>
      </c>
      <c r="I105" s="4">
        <v>13</v>
      </c>
      <c r="J105" s="2">
        <f t="shared" si="10"/>
        <v>27</v>
      </c>
      <c r="K105" s="2">
        <f t="shared" si="11"/>
        <v>0.00128357499405752</v>
      </c>
      <c r="L105" s="2">
        <v>0.6436</v>
      </c>
      <c r="M105">
        <v>81.17</v>
      </c>
      <c r="N105">
        <v>18937</v>
      </c>
      <c r="O105" s="5">
        <v>409</v>
      </c>
      <c r="P105">
        <f t="shared" si="12"/>
        <v>19346</v>
      </c>
      <c r="Q105">
        <f t="shared" si="13"/>
        <v>0.919705253149513</v>
      </c>
      <c r="R105" s="1">
        <v>76900.997</v>
      </c>
      <c r="S105">
        <v>2515800</v>
      </c>
      <c r="T105">
        <v>30567.21401</v>
      </c>
    </row>
    <row r="106" spans="1:20">
      <c r="A106">
        <v>2021</v>
      </c>
      <c r="B106" t="s">
        <v>28</v>
      </c>
      <c r="C106">
        <v>821</v>
      </c>
      <c r="D106">
        <v>406.796</v>
      </c>
      <c r="E106">
        <f t="shared" si="14"/>
        <v>406796</v>
      </c>
      <c r="F106">
        <f t="shared" si="15"/>
        <v>495.488428745432</v>
      </c>
      <c r="G106">
        <v>0</v>
      </c>
      <c r="H106">
        <v>2</v>
      </c>
      <c r="I106" s="4">
        <v>2</v>
      </c>
      <c r="J106" s="2">
        <f t="shared" si="10"/>
        <v>4</v>
      </c>
      <c r="K106" s="2">
        <f t="shared" si="11"/>
        <v>0.0048721071863581</v>
      </c>
      <c r="L106" s="2">
        <v>0.4048</v>
      </c>
      <c r="M106">
        <v>59.67</v>
      </c>
      <c r="N106">
        <v>1297</v>
      </c>
      <c r="O106" s="5">
        <v>64</v>
      </c>
      <c r="P106">
        <f t="shared" si="12"/>
        <v>1361</v>
      </c>
      <c r="Q106">
        <f t="shared" si="13"/>
        <v>1.65773447015834</v>
      </c>
      <c r="R106" s="1">
        <v>5866.65</v>
      </c>
      <c r="S106">
        <v>287600</v>
      </c>
      <c r="T106">
        <v>20398.64395</v>
      </c>
    </row>
    <row r="107" spans="1:20">
      <c r="A107">
        <v>2021</v>
      </c>
      <c r="B107" t="s">
        <v>29</v>
      </c>
      <c r="C107">
        <v>8104</v>
      </c>
      <c r="D107">
        <v>10211.58</v>
      </c>
      <c r="E107">
        <f t="shared" si="14"/>
        <v>10211580</v>
      </c>
      <c r="F107">
        <f t="shared" si="15"/>
        <v>1260.06663376111</v>
      </c>
      <c r="G107">
        <v>1</v>
      </c>
      <c r="H107">
        <v>5</v>
      </c>
      <c r="I107" s="4">
        <v>9</v>
      </c>
      <c r="J107" s="2">
        <f t="shared" si="10"/>
        <v>15</v>
      </c>
      <c r="K107" s="2">
        <f t="shared" si="11"/>
        <v>0.00185093780848963</v>
      </c>
      <c r="L107" s="2">
        <v>0.3018</v>
      </c>
      <c r="M107">
        <v>79.83</v>
      </c>
      <c r="N107">
        <v>30850</v>
      </c>
      <c r="O107" s="5">
        <v>713</v>
      </c>
      <c r="P107">
        <f t="shared" si="12"/>
        <v>31563</v>
      </c>
      <c r="Q107">
        <f t="shared" si="13"/>
        <v>3.89474333662389</v>
      </c>
      <c r="R107" s="1">
        <v>344102.741</v>
      </c>
      <c r="S107" s="4">
        <v>7014700</v>
      </c>
      <c r="T107">
        <v>49054.51994</v>
      </c>
    </row>
    <row r="108" spans="1:20">
      <c r="A108">
        <v>2021</v>
      </c>
      <c r="B108" t="s">
        <v>30</v>
      </c>
      <c r="C108">
        <v>12955</v>
      </c>
      <c r="D108">
        <v>3719.052</v>
      </c>
      <c r="E108">
        <f t="shared" si="14"/>
        <v>3719052</v>
      </c>
      <c r="F108">
        <f t="shared" si="15"/>
        <v>287.074642994983</v>
      </c>
      <c r="G108">
        <v>2</v>
      </c>
      <c r="H108">
        <v>0</v>
      </c>
      <c r="I108" s="4">
        <v>7</v>
      </c>
      <c r="J108" s="2">
        <f t="shared" si="10"/>
        <v>9</v>
      </c>
      <c r="K108" s="2">
        <f t="shared" si="11"/>
        <v>0.000694712466229255</v>
      </c>
      <c r="L108" s="2">
        <v>0.9365</v>
      </c>
      <c r="M108">
        <v>58.08</v>
      </c>
      <c r="N108">
        <v>10562</v>
      </c>
      <c r="O108" s="5">
        <v>225.41</v>
      </c>
      <c r="P108">
        <f t="shared" si="12"/>
        <v>10787.41</v>
      </c>
      <c r="Q108">
        <f t="shared" si="13"/>
        <v>0.832683133925125</v>
      </c>
      <c r="R108" s="1">
        <v>35235.898</v>
      </c>
      <c r="S108" s="4">
        <v>1170700</v>
      </c>
      <c r="T108">
        <v>30098.1447</v>
      </c>
    </row>
    <row r="109" spans="1:20">
      <c r="A109">
        <v>2021</v>
      </c>
      <c r="B109" t="s">
        <v>31</v>
      </c>
      <c r="C109">
        <v>76115</v>
      </c>
      <c r="D109">
        <v>3815.016</v>
      </c>
      <c r="E109">
        <f t="shared" si="14"/>
        <v>3815016</v>
      </c>
      <c r="F109">
        <f t="shared" si="15"/>
        <v>50.1217368455626</v>
      </c>
      <c r="G109">
        <v>4</v>
      </c>
      <c r="H109">
        <v>0</v>
      </c>
      <c r="I109" s="4">
        <v>4</v>
      </c>
      <c r="J109" s="2">
        <f t="shared" si="10"/>
        <v>8</v>
      </c>
      <c r="K109" s="2">
        <f t="shared" si="11"/>
        <v>0.000105104118767654</v>
      </c>
      <c r="L109" s="2">
        <v>0.6577</v>
      </c>
      <c r="M109">
        <v>58.17</v>
      </c>
      <c r="N109">
        <v>27963</v>
      </c>
      <c r="O109" s="5">
        <v>760.23</v>
      </c>
      <c r="P109">
        <f t="shared" si="12"/>
        <v>28723.23</v>
      </c>
      <c r="Q109">
        <f t="shared" si="13"/>
        <v>0.377366222163831</v>
      </c>
      <c r="R109" s="1">
        <v>79000.069</v>
      </c>
      <c r="S109">
        <v>3412600</v>
      </c>
      <c r="T109">
        <v>23149.525</v>
      </c>
    </row>
    <row r="110" spans="1:20">
      <c r="A110">
        <v>2021</v>
      </c>
      <c r="B110" t="s">
        <v>32</v>
      </c>
      <c r="C110">
        <v>124450</v>
      </c>
      <c r="D110">
        <v>6510.9</v>
      </c>
      <c r="E110">
        <f t="shared" si="14"/>
        <v>6510900</v>
      </c>
      <c r="F110">
        <f t="shared" si="15"/>
        <v>52.3173965447971</v>
      </c>
      <c r="G110">
        <v>8</v>
      </c>
      <c r="H110">
        <v>0</v>
      </c>
      <c r="I110" s="4">
        <v>4</v>
      </c>
      <c r="J110" s="2">
        <f t="shared" si="10"/>
        <v>12</v>
      </c>
      <c r="K110" s="2">
        <f t="shared" si="11"/>
        <v>9.64242667738047e-5</v>
      </c>
      <c r="L110" s="2">
        <v>0.6736</v>
      </c>
      <c r="M110">
        <v>70.67</v>
      </c>
      <c r="N110">
        <v>28752</v>
      </c>
      <c r="O110" s="5">
        <v>984.16</v>
      </c>
      <c r="P110">
        <f t="shared" si="12"/>
        <v>29736.16</v>
      </c>
      <c r="Q110">
        <f t="shared" si="13"/>
        <v>0.238940618722378</v>
      </c>
      <c r="R110" s="1">
        <v>131593.878</v>
      </c>
      <c r="S110">
        <v>2465600</v>
      </c>
      <c r="T110">
        <v>53371.94922</v>
      </c>
    </row>
    <row r="111" spans="1:20">
      <c r="A111">
        <v>2021</v>
      </c>
      <c r="B111" t="s">
        <v>33</v>
      </c>
      <c r="C111">
        <v>243</v>
      </c>
      <c r="D111">
        <v>9116.005</v>
      </c>
      <c r="E111">
        <f t="shared" si="14"/>
        <v>9116005</v>
      </c>
      <c r="F111">
        <f t="shared" si="15"/>
        <v>37514.4238683128</v>
      </c>
      <c r="G111">
        <v>2</v>
      </c>
      <c r="H111">
        <v>4</v>
      </c>
      <c r="I111" s="4">
        <v>8</v>
      </c>
      <c r="J111" s="2">
        <f t="shared" si="10"/>
        <v>14</v>
      </c>
      <c r="K111" s="2">
        <f t="shared" si="11"/>
        <v>0.0576131687242798</v>
      </c>
      <c r="L111" s="2">
        <v>0.5542</v>
      </c>
      <c r="M111">
        <v>45</v>
      </c>
      <c r="N111">
        <v>56334</v>
      </c>
      <c r="O111" s="5">
        <v>0</v>
      </c>
      <c r="P111">
        <f t="shared" si="12"/>
        <v>56334</v>
      </c>
      <c r="Q111">
        <f t="shared" si="13"/>
        <v>231.827160493827</v>
      </c>
      <c r="R111" s="1">
        <v>207700.859967295</v>
      </c>
      <c r="S111">
        <v>1964000</v>
      </c>
      <c r="T111">
        <v>105754.00202</v>
      </c>
    </row>
    <row r="112" spans="1:20">
      <c r="A112">
        <v>2021</v>
      </c>
      <c r="B112" t="s">
        <v>34</v>
      </c>
      <c r="C112">
        <v>91.64</v>
      </c>
      <c r="D112">
        <v>53.899</v>
      </c>
      <c r="E112">
        <f t="shared" si="14"/>
        <v>53899</v>
      </c>
      <c r="F112">
        <f t="shared" si="15"/>
        <v>588.160192055871</v>
      </c>
      <c r="G112">
        <v>1</v>
      </c>
      <c r="H112">
        <v>0</v>
      </c>
      <c r="I112" s="4">
        <v>1</v>
      </c>
      <c r="J112" s="2">
        <f t="shared" si="10"/>
        <v>2</v>
      </c>
      <c r="K112" s="2">
        <f t="shared" si="11"/>
        <v>0.0218245307725884</v>
      </c>
      <c r="L112" s="2">
        <v>1</v>
      </c>
      <c r="M112">
        <v>64.58</v>
      </c>
      <c r="N112">
        <v>2285</v>
      </c>
      <c r="O112" s="5">
        <v>97</v>
      </c>
      <c r="P112">
        <f t="shared" si="12"/>
        <v>2382</v>
      </c>
      <c r="Q112">
        <f t="shared" si="13"/>
        <v>25.9930161501528</v>
      </c>
      <c r="R112" s="1">
        <v>7649.669</v>
      </c>
      <c r="S112">
        <v>96000</v>
      </c>
      <c r="T112">
        <v>79684.05208</v>
      </c>
    </row>
    <row r="113" spans="1:20">
      <c r="A113">
        <v>2021</v>
      </c>
      <c r="B113" t="s">
        <v>35</v>
      </c>
      <c r="C113">
        <v>49</v>
      </c>
      <c r="D113">
        <v>223.006</v>
      </c>
      <c r="E113">
        <f t="shared" si="14"/>
        <v>223006</v>
      </c>
      <c r="F113">
        <f t="shared" si="15"/>
        <v>4551.14285714286</v>
      </c>
      <c r="G113">
        <v>0</v>
      </c>
      <c r="H113">
        <v>0</v>
      </c>
      <c r="I113">
        <v>1</v>
      </c>
      <c r="J113" s="2">
        <f t="shared" si="10"/>
        <v>1</v>
      </c>
      <c r="K113" s="2">
        <f t="shared" si="11"/>
        <v>0.0204081632653061</v>
      </c>
      <c r="L113" s="2">
        <v>0.523</v>
      </c>
      <c r="M113">
        <v>63.42</v>
      </c>
      <c r="N113">
        <v>1843</v>
      </c>
      <c r="O113" s="5">
        <v>0</v>
      </c>
      <c r="P113">
        <f t="shared" si="12"/>
        <v>1843</v>
      </c>
      <c r="Q113">
        <f t="shared" si="13"/>
        <v>37.6122448979592</v>
      </c>
      <c r="R113" s="1">
        <v>12182.8610327048</v>
      </c>
      <c r="S113">
        <v>115200</v>
      </c>
      <c r="T113">
        <v>105754.00202</v>
      </c>
    </row>
    <row r="114" spans="1:20">
      <c r="A114">
        <v>2022</v>
      </c>
      <c r="B114" t="s">
        <v>20</v>
      </c>
      <c r="C114">
        <v>19210</v>
      </c>
      <c r="D114">
        <v>12376.202</v>
      </c>
      <c r="E114">
        <f t="shared" si="14"/>
        <v>12376202</v>
      </c>
      <c r="F114">
        <f t="shared" si="15"/>
        <v>644.258302967205</v>
      </c>
      <c r="G114">
        <v>1</v>
      </c>
      <c r="H114">
        <v>0</v>
      </c>
      <c r="I114" s="4">
        <v>24</v>
      </c>
      <c r="J114" s="2">
        <f t="shared" si="10"/>
        <v>25</v>
      </c>
      <c r="K114" s="2">
        <f t="shared" si="11"/>
        <v>0.0013014055179594</v>
      </c>
      <c r="L114" s="2">
        <v>0.3801</v>
      </c>
      <c r="M114">
        <v>79.42</v>
      </c>
      <c r="N114">
        <v>34294</v>
      </c>
      <c r="O114" s="5">
        <v>590.53</v>
      </c>
      <c r="P114">
        <f t="shared" si="12"/>
        <v>34884.53</v>
      </c>
      <c r="Q114">
        <f t="shared" si="13"/>
        <v>1.8159567933368</v>
      </c>
      <c r="R114" s="1">
        <v>142369.692</v>
      </c>
      <c r="S114">
        <v>4028300</v>
      </c>
      <c r="T114">
        <v>35342.37569</v>
      </c>
    </row>
    <row r="115" spans="1:20">
      <c r="A115">
        <v>2022</v>
      </c>
      <c r="B115" t="s">
        <v>21</v>
      </c>
      <c r="C115">
        <v>9427</v>
      </c>
      <c r="D115">
        <v>11186.197</v>
      </c>
      <c r="E115">
        <f t="shared" si="14"/>
        <v>11186197</v>
      </c>
      <c r="F115">
        <f t="shared" si="15"/>
        <v>1186.61260210035</v>
      </c>
      <c r="G115">
        <v>2</v>
      </c>
      <c r="H115">
        <v>4</v>
      </c>
      <c r="I115" s="4">
        <v>8</v>
      </c>
      <c r="J115" s="2">
        <f t="shared" ref="J115:J146" si="16">G115+H115+I115</f>
        <v>14</v>
      </c>
      <c r="K115" s="2">
        <f t="shared" ref="K115:K146" si="17">J115/C115</f>
        <v>0.00148509600084863</v>
      </c>
      <c r="L115" s="2">
        <v>0.493</v>
      </c>
      <c r="M115">
        <v>73.58</v>
      </c>
      <c r="N115">
        <f>5682+11903</f>
        <v>17585</v>
      </c>
      <c r="O115" s="5">
        <v>270.32</v>
      </c>
      <c r="P115">
        <f t="shared" ref="P115:P146" si="18">N115+O115</f>
        <v>17855.32</v>
      </c>
      <c r="Q115">
        <f t="shared" ref="Q115:Q146" si="19">P115/C115</f>
        <v>1.89406173756232</v>
      </c>
      <c r="R115" s="1">
        <v>50982.123</v>
      </c>
      <c r="S115">
        <v>2163100</v>
      </c>
      <c r="T115">
        <v>23569.00883</v>
      </c>
    </row>
    <row r="116" spans="1:20">
      <c r="A116">
        <v>2022</v>
      </c>
      <c r="B116" t="s">
        <v>22</v>
      </c>
      <c r="C116">
        <v>15099</v>
      </c>
      <c r="D116">
        <v>6627.155</v>
      </c>
      <c r="E116">
        <f t="shared" si="14"/>
        <v>6627155</v>
      </c>
      <c r="F116">
        <f t="shared" si="15"/>
        <v>438.913504205577</v>
      </c>
      <c r="G116">
        <v>1</v>
      </c>
      <c r="H116">
        <v>0</v>
      </c>
      <c r="I116" s="4">
        <v>7</v>
      </c>
      <c r="J116" s="2">
        <f t="shared" si="16"/>
        <v>8</v>
      </c>
      <c r="K116" s="2">
        <f t="shared" si="17"/>
        <v>0.000529836413007484</v>
      </c>
      <c r="L116" s="2">
        <v>0.7359</v>
      </c>
      <c r="M116">
        <v>75.83</v>
      </c>
      <c r="N116">
        <v>6075</v>
      </c>
      <c r="O116" s="5">
        <v>148.47</v>
      </c>
      <c r="P116">
        <f t="shared" si="18"/>
        <v>6223.47</v>
      </c>
      <c r="Q116">
        <f t="shared" si="19"/>
        <v>0.412177627657461</v>
      </c>
      <c r="R116" s="1">
        <v>26934.566</v>
      </c>
      <c r="S116">
        <v>1830600</v>
      </c>
      <c r="T116">
        <v>14713.51797</v>
      </c>
    </row>
    <row r="117" spans="1:20">
      <c r="A117">
        <v>2022</v>
      </c>
      <c r="B117" t="s">
        <v>23</v>
      </c>
      <c r="C117">
        <v>1720</v>
      </c>
      <c r="D117">
        <v>11757.166</v>
      </c>
      <c r="E117">
        <f t="shared" si="14"/>
        <v>11757166</v>
      </c>
      <c r="F117">
        <f t="shared" si="15"/>
        <v>6835.56162790698</v>
      </c>
      <c r="G117">
        <v>1</v>
      </c>
      <c r="H117">
        <v>2</v>
      </c>
      <c r="I117" s="4">
        <v>2</v>
      </c>
      <c r="J117" s="2">
        <f t="shared" si="16"/>
        <v>5</v>
      </c>
      <c r="K117" s="2">
        <f t="shared" si="17"/>
        <v>0.00290697674418605</v>
      </c>
      <c r="L117" s="2">
        <v>0.3269</v>
      </c>
      <c r="M117">
        <v>79.92</v>
      </c>
      <c r="N117">
        <v>19343</v>
      </c>
      <c r="O117" s="5">
        <v>182.15</v>
      </c>
      <c r="P117">
        <f t="shared" si="18"/>
        <v>19525.15</v>
      </c>
      <c r="Q117">
        <f t="shared" si="19"/>
        <v>11.3518313953488</v>
      </c>
      <c r="R117" s="1">
        <v>45579.035</v>
      </c>
      <c r="S117">
        <v>1008600</v>
      </c>
      <c r="T117">
        <v>45190.39758</v>
      </c>
    </row>
    <row r="118" spans="1:20">
      <c r="A118">
        <v>2022</v>
      </c>
      <c r="B118" t="s">
        <v>24</v>
      </c>
      <c r="C118">
        <v>6686</v>
      </c>
      <c r="D118">
        <v>11490.144</v>
      </c>
      <c r="E118">
        <f t="shared" si="14"/>
        <v>11490144</v>
      </c>
      <c r="F118">
        <f t="shared" si="15"/>
        <v>1718.53784026324</v>
      </c>
      <c r="G118">
        <v>0</v>
      </c>
      <c r="H118">
        <v>2</v>
      </c>
      <c r="I118" s="4">
        <v>5</v>
      </c>
      <c r="J118" s="2">
        <f t="shared" si="16"/>
        <v>7</v>
      </c>
      <c r="K118" s="2">
        <f t="shared" si="17"/>
        <v>0.0010469638049656</v>
      </c>
      <c r="L118" s="2">
        <v>0.5827</v>
      </c>
      <c r="M118">
        <v>21.33</v>
      </c>
      <c r="N118">
        <v>11129</v>
      </c>
      <c r="O118" s="5">
        <v>219.01</v>
      </c>
      <c r="P118">
        <f t="shared" si="18"/>
        <v>11348.01</v>
      </c>
      <c r="Q118">
        <f t="shared" si="19"/>
        <v>1.69727938976967</v>
      </c>
      <c r="R118" s="1">
        <v>50939.264</v>
      </c>
      <c r="S118">
        <v>1207900</v>
      </c>
      <c r="T118">
        <v>42171.75594</v>
      </c>
    </row>
    <row r="119" spans="1:20">
      <c r="A119">
        <v>2022</v>
      </c>
      <c r="B119" t="s">
        <v>25</v>
      </c>
      <c r="C119">
        <v>35965</v>
      </c>
      <c r="D119">
        <v>13188.959</v>
      </c>
      <c r="E119">
        <f t="shared" si="14"/>
        <v>13188959</v>
      </c>
      <c r="F119">
        <f t="shared" si="15"/>
        <v>366.716502154873</v>
      </c>
      <c r="G119">
        <v>2</v>
      </c>
      <c r="H119">
        <v>0</v>
      </c>
      <c r="I119" s="4">
        <v>16</v>
      </c>
      <c r="J119" s="2">
        <f t="shared" si="16"/>
        <v>18</v>
      </c>
      <c r="K119" s="2">
        <f t="shared" si="17"/>
        <v>0.000500486584179063</v>
      </c>
      <c r="L119" s="2">
        <v>0.7609</v>
      </c>
      <c r="M119">
        <v>32</v>
      </c>
      <c r="N119">
        <v>34183</v>
      </c>
      <c r="O119" s="5">
        <v>423.53</v>
      </c>
      <c r="P119">
        <f t="shared" si="18"/>
        <v>34606.53</v>
      </c>
      <c r="Q119">
        <f t="shared" si="19"/>
        <v>0.962227999443904</v>
      </c>
      <c r="R119" s="1">
        <v>61746.204</v>
      </c>
      <c r="S119">
        <v>1614300</v>
      </c>
      <c r="T119">
        <v>38249.52239</v>
      </c>
    </row>
    <row r="120" spans="1:20">
      <c r="A120">
        <v>2022</v>
      </c>
      <c r="B120" t="s">
        <v>26</v>
      </c>
      <c r="C120">
        <v>1031</v>
      </c>
      <c r="D120">
        <v>10002.735</v>
      </c>
      <c r="E120">
        <f t="shared" si="14"/>
        <v>10002735</v>
      </c>
      <c r="F120">
        <f t="shared" si="15"/>
        <v>9701.97381183317</v>
      </c>
      <c r="G120">
        <v>1</v>
      </c>
      <c r="H120">
        <v>4</v>
      </c>
      <c r="I120" s="4">
        <v>5</v>
      </c>
      <c r="J120" s="2">
        <f t="shared" si="16"/>
        <v>10</v>
      </c>
      <c r="K120" s="2">
        <f t="shared" si="17"/>
        <v>0.00969932104752667</v>
      </c>
      <c r="L120" s="2">
        <v>0.2526</v>
      </c>
      <c r="M120">
        <v>74.92</v>
      </c>
      <c r="N120">
        <v>24704</v>
      </c>
      <c r="O120" s="5">
        <v>155.69</v>
      </c>
      <c r="P120">
        <f t="shared" si="18"/>
        <v>24859.69</v>
      </c>
      <c r="Q120">
        <f t="shared" si="19"/>
        <v>24.1122114451988</v>
      </c>
      <c r="R120" s="1">
        <v>112281.052</v>
      </c>
      <c r="S120" s="4">
        <v>1740900</v>
      </c>
      <c r="T120">
        <v>64495.98024</v>
      </c>
    </row>
    <row r="121" spans="1:20">
      <c r="A121">
        <v>2022</v>
      </c>
      <c r="B121" t="s">
        <v>27</v>
      </c>
      <c r="C121">
        <v>21035</v>
      </c>
      <c r="D121">
        <v>14566.727</v>
      </c>
      <c r="E121">
        <f t="shared" si="14"/>
        <v>14566727</v>
      </c>
      <c r="F121">
        <f t="shared" si="15"/>
        <v>692.499500831947</v>
      </c>
      <c r="G121">
        <v>2</v>
      </c>
      <c r="H121">
        <v>12</v>
      </c>
      <c r="I121" s="4">
        <v>13</v>
      </c>
      <c r="J121" s="2">
        <f t="shared" si="16"/>
        <v>27</v>
      </c>
      <c r="K121" s="2">
        <f t="shared" si="17"/>
        <v>0.00128357499405752</v>
      </c>
      <c r="L121" s="2">
        <v>0.6326</v>
      </c>
      <c r="M121">
        <v>80.25</v>
      </c>
      <c r="N121">
        <v>19976</v>
      </c>
      <c r="O121" s="5">
        <v>162.26</v>
      </c>
      <c r="P121">
        <f t="shared" si="18"/>
        <v>20138.26</v>
      </c>
      <c r="Q121">
        <f t="shared" si="19"/>
        <v>0.957369146660328</v>
      </c>
      <c r="R121" s="1">
        <v>80426.886</v>
      </c>
      <c r="S121">
        <v>2514400</v>
      </c>
      <c r="T121">
        <v>31986.51209</v>
      </c>
    </row>
    <row r="122" spans="1:20">
      <c r="A122">
        <v>2022</v>
      </c>
      <c r="B122" t="s">
        <v>28</v>
      </c>
      <c r="C122">
        <v>821</v>
      </c>
      <c r="D122">
        <v>1669.175</v>
      </c>
      <c r="E122">
        <f t="shared" si="14"/>
        <v>1669175</v>
      </c>
      <c r="F122">
        <f t="shared" si="15"/>
        <v>2033.09987819732</v>
      </c>
      <c r="G122">
        <v>0</v>
      </c>
      <c r="H122">
        <v>2</v>
      </c>
      <c r="I122" s="4">
        <v>2</v>
      </c>
      <c r="J122" s="2">
        <f t="shared" si="16"/>
        <v>4</v>
      </c>
      <c r="K122" s="2">
        <f t="shared" si="17"/>
        <v>0.0048721071863581</v>
      </c>
      <c r="L122" s="2">
        <v>0.312</v>
      </c>
      <c r="M122">
        <v>75.33</v>
      </c>
      <c r="N122">
        <v>1361</v>
      </c>
      <c r="O122" s="5">
        <v>53.71</v>
      </c>
      <c r="P122">
        <f t="shared" si="18"/>
        <v>1414.71</v>
      </c>
      <c r="Q122">
        <f t="shared" si="19"/>
        <v>1.72315468940317</v>
      </c>
      <c r="R122" s="1">
        <v>6209.957</v>
      </c>
      <c r="S122">
        <v>289800</v>
      </c>
      <c r="T122">
        <v>21428.42305</v>
      </c>
    </row>
    <row r="123" spans="1:20">
      <c r="A123">
        <v>2022</v>
      </c>
      <c r="B123" t="s">
        <v>29</v>
      </c>
      <c r="C123">
        <v>8104</v>
      </c>
      <c r="D123">
        <v>21989.558</v>
      </c>
      <c r="E123">
        <f t="shared" si="14"/>
        <v>21989558</v>
      </c>
      <c r="F123">
        <f t="shared" si="15"/>
        <v>2713.42028627838</v>
      </c>
      <c r="G123">
        <v>1</v>
      </c>
      <c r="H123">
        <v>5</v>
      </c>
      <c r="I123" s="4">
        <v>9</v>
      </c>
      <c r="J123" s="2">
        <f t="shared" si="16"/>
        <v>15</v>
      </c>
      <c r="K123" s="2">
        <f t="shared" si="17"/>
        <v>0.00185093780848963</v>
      </c>
      <c r="L123" s="2">
        <v>0.2693</v>
      </c>
      <c r="M123">
        <v>78.58</v>
      </c>
      <c r="N123">
        <v>32241</v>
      </c>
      <c r="O123" s="5">
        <v>944.84</v>
      </c>
      <c r="P123">
        <f t="shared" si="18"/>
        <v>33185.84</v>
      </c>
      <c r="Q123">
        <f t="shared" si="19"/>
        <v>4.09499506416584</v>
      </c>
      <c r="R123" s="1">
        <v>385158.798</v>
      </c>
      <c r="S123" s="4">
        <v>7050300</v>
      </c>
      <c r="T123">
        <v>54630.12893</v>
      </c>
    </row>
    <row r="124" spans="1:20">
      <c r="A124">
        <v>2022</v>
      </c>
      <c r="B124" t="s">
        <v>30</v>
      </c>
      <c r="C124">
        <v>12955</v>
      </c>
      <c r="D124">
        <v>10233.282</v>
      </c>
      <c r="E124">
        <f t="shared" si="14"/>
        <v>10233282</v>
      </c>
      <c r="F124">
        <f t="shared" si="15"/>
        <v>789.909841759938</v>
      </c>
      <c r="G124">
        <v>2</v>
      </c>
      <c r="H124">
        <v>0</v>
      </c>
      <c r="I124" s="4">
        <v>7</v>
      </c>
      <c r="J124" s="2">
        <f t="shared" si="16"/>
        <v>9</v>
      </c>
      <c r="K124" s="2">
        <f t="shared" si="17"/>
        <v>0.000694712466229255</v>
      </c>
      <c r="L124" s="2">
        <v>0.8641</v>
      </c>
      <c r="M124">
        <v>73.08</v>
      </c>
      <c r="N124">
        <v>10993</v>
      </c>
      <c r="O124" s="5">
        <v>116.24</v>
      </c>
      <c r="P124">
        <f t="shared" si="18"/>
        <v>11109.24</v>
      </c>
      <c r="Q124">
        <f t="shared" si="19"/>
        <v>0.857525279814743</v>
      </c>
      <c r="R124" s="1">
        <v>37353.84</v>
      </c>
      <c r="S124" s="4">
        <v>1186600</v>
      </c>
      <c r="T124">
        <v>31479.72358</v>
      </c>
    </row>
    <row r="125" spans="1:20">
      <c r="A125">
        <v>2022</v>
      </c>
      <c r="B125" t="s">
        <v>31</v>
      </c>
      <c r="C125">
        <v>76115</v>
      </c>
      <c r="D125">
        <v>12589.005</v>
      </c>
      <c r="E125">
        <f t="shared" si="14"/>
        <v>12589005</v>
      </c>
      <c r="F125">
        <f t="shared" si="15"/>
        <v>165.394534585824</v>
      </c>
      <c r="G125">
        <v>4</v>
      </c>
      <c r="H125">
        <v>0</v>
      </c>
      <c r="I125" s="4">
        <v>4</v>
      </c>
      <c r="J125" s="2">
        <f t="shared" si="16"/>
        <v>8</v>
      </c>
      <c r="K125" s="2">
        <f t="shared" si="17"/>
        <v>0.000105104118767654</v>
      </c>
      <c r="L125" s="2">
        <v>0.5836</v>
      </c>
      <c r="M125">
        <v>58.25</v>
      </c>
      <c r="N125">
        <v>25344</v>
      </c>
      <c r="O125" s="5">
        <v>681.77</v>
      </c>
      <c r="P125">
        <f t="shared" si="18"/>
        <v>26025.77</v>
      </c>
      <c r="Q125">
        <f t="shared" si="19"/>
        <v>0.341926952637456</v>
      </c>
      <c r="R125" s="1">
        <v>82106.428</v>
      </c>
      <c r="S125" s="4">
        <v>3414900</v>
      </c>
      <c r="T125">
        <v>24043.58195</v>
      </c>
    </row>
    <row r="126" spans="1:20">
      <c r="A126">
        <v>2022</v>
      </c>
      <c r="B126" t="s">
        <v>32</v>
      </c>
      <c r="C126">
        <v>124450</v>
      </c>
      <c r="D126">
        <v>15464.621</v>
      </c>
      <c r="E126">
        <f t="shared" si="14"/>
        <v>15464621</v>
      </c>
      <c r="F126">
        <f t="shared" si="15"/>
        <v>124.263728404982</v>
      </c>
      <c r="G126">
        <v>8</v>
      </c>
      <c r="H126">
        <v>0</v>
      </c>
      <c r="I126" s="4">
        <v>4</v>
      </c>
      <c r="J126" s="2">
        <f t="shared" si="16"/>
        <v>12</v>
      </c>
      <c r="K126" s="2">
        <f t="shared" si="17"/>
        <v>9.64242667738047e-5</v>
      </c>
      <c r="L126" s="2">
        <v>0.6682</v>
      </c>
      <c r="M126">
        <v>67.33</v>
      </c>
      <c r="N126">
        <v>25610</v>
      </c>
      <c r="O126" s="5">
        <v>818.45</v>
      </c>
      <c r="P126">
        <f t="shared" si="18"/>
        <v>26428.45</v>
      </c>
      <c r="Q126">
        <f t="shared" si="19"/>
        <v>0.21236199276818</v>
      </c>
      <c r="R126" s="1">
        <v>140698.831</v>
      </c>
      <c r="S126" s="4">
        <v>2473500</v>
      </c>
      <c r="T126">
        <v>56882.48676</v>
      </c>
    </row>
    <row r="127" spans="1:20">
      <c r="A127">
        <v>2022</v>
      </c>
      <c r="B127" t="s">
        <v>33</v>
      </c>
      <c r="C127">
        <v>243</v>
      </c>
      <c r="D127">
        <v>16912.534</v>
      </c>
      <c r="E127">
        <f t="shared" si="14"/>
        <v>16912534</v>
      </c>
      <c r="F127">
        <f t="shared" si="15"/>
        <v>69598.9053497942</v>
      </c>
      <c r="G127">
        <v>2</v>
      </c>
      <c r="H127">
        <v>4</v>
      </c>
      <c r="I127" s="4">
        <v>9</v>
      </c>
      <c r="J127" s="2">
        <f t="shared" si="16"/>
        <v>15</v>
      </c>
      <c r="K127" s="2">
        <f t="shared" si="17"/>
        <v>0.0617283950617284</v>
      </c>
      <c r="L127" s="2">
        <v>0.4967</v>
      </c>
      <c r="M127">
        <v>86.58</v>
      </c>
      <c r="N127">
        <v>55641</v>
      </c>
      <c r="O127" s="5">
        <v>0</v>
      </c>
      <c r="P127">
        <f t="shared" si="18"/>
        <v>55641</v>
      </c>
      <c r="Q127">
        <f t="shared" si="19"/>
        <v>228.975308641975</v>
      </c>
      <c r="R127" s="1">
        <v>226976.708461938</v>
      </c>
      <c r="S127">
        <v>1961200</v>
      </c>
      <c r="T127">
        <v>115733.5858</v>
      </c>
    </row>
    <row r="128" spans="1:20">
      <c r="A128">
        <v>2022</v>
      </c>
      <c r="B128" t="s">
        <v>34</v>
      </c>
      <c r="C128">
        <v>91.64</v>
      </c>
      <c r="D128">
        <v>243.695</v>
      </c>
      <c r="E128">
        <f t="shared" si="14"/>
        <v>243695</v>
      </c>
      <c r="F128">
        <f t="shared" si="15"/>
        <v>2659.26451331296</v>
      </c>
      <c r="G128">
        <v>1</v>
      </c>
      <c r="H128">
        <v>0</v>
      </c>
      <c r="I128" s="4">
        <v>1</v>
      </c>
      <c r="J128" s="2">
        <f t="shared" si="16"/>
        <v>2</v>
      </c>
      <c r="K128" s="2">
        <f t="shared" si="17"/>
        <v>0.0218245307725884</v>
      </c>
      <c r="L128" s="2">
        <v>0.5485</v>
      </c>
      <c r="M128">
        <v>73.25</v>
      </c>
      <c r="N128">
        <v>2284</v>
      </c>
      <c r="O128" s="5">
        <v>100.68</v>
      </c>
      <c r="P128">
        <f t="shared" si="18"/>
        <v>2384.68</v>
      </c>
      <c r="Q128">
        <f t="shared" si="19"/>
        <v>26.022261021388</v>
      </c>
      <c r="R128" s="1">
        <v>7962.511</v>
      </c>
      <c r="S128">
        <v>96900</v>
      </c>
      <c r="T128">
        <v>82172.45614</v>
      </c>
    </row>
    <row r="129" spans="1:20">
      <c r="A129">
        <v>2022</v>
      </c>
      <c r="B129" t="s">
        <v>35</v>
      </c>
      <c r="C129">
        <v>49</v>
      </c>
      <c r="D129">
        <v>1305.808</v>
      </c>
      <c r="E129">
        <f t="shared" si="14"/>
        <v>1305808</v>
      </c>
      <c r="F129">
        <f t="shared" si="15"/>
        <v>26649.1428571429</v>
      </c>
      <c r="G129">
        <v>0</v>
      </c>
      <c r="H129">
        <v>0</v>
      </c>
      <c r="I129">
        <v>1</v>
      </c>
      <c r="J129" s="2">
        <f t="shared" si="16"/>
        <v>1</v>
      </c>
      <c r="K129" s="2">
        <f t="shared" si="17"/>
        <v>0.0204081632653061</v>
      </c>
      <c r="L129" s="2">
        <v>0.4209</v>
      </c>
      <c r="M129">
        <v>75.67</v>
      </c>
      <c r="N129">
        <v>1937</v>
      </c>
      <c r="O129" s="5">
        <v>0</v>
      </c>
      <c r="P129">
        <f t="shared" si="18"/>
        <v>1937</v>
      </c>
      <c r="Q129">
        <f t="shared" si="19"/>
        <v>39.530612244898</v>
      </c>
      <c r="R129" s="1">
        <v>13540.8295380617</v>
      </c>
      <c r="S129">
        <v>117000</v>
      </c>
      <c r="T129">
        <v>115733.5858</v>
      </c>
    </row>
    <row r="130" spans="1:20">
      <c r="A130">
        <v>2023</v>
      </c>
      <c r="B130" t="s">
        <v>20</v>
      </c>
      <c r="C130">
        <v>19210</v>
      </c>
      <c r="D130">
        <v>15804.89</v>
      </c>
      <c r="E130">
        <f t="shared" si="14"/>
        <v>15804890</v>
      </c>
      <c r="F130">
        <f t="shared" si="15"/>
        <v>822.742842269651</v>
      </c>
      <c r="G130">
        <v>1</v>
      </c>
      <c r="H130">
        <v>0</v>
      </c>
      <c r="I130" s="4">
        <v>24</v>
      </c>
      <c r="J130" s="2">
        <f t="shared" si="16"/>
        <v>25</v>
      </c>
      <c r="K130" s="2">
        <f t="shared" si="17"/>
        <v>0.0013014055179594</v>
      </c>
      <c r="L130" s="2">
        <v>0.4171</v>
      </c>
      <c r="M130">
        <v>85.58</v>
      </c>
      <c r="N130">
        <v>35208</v>
      </c>
      <c r="O130" s="5">
        <v>622.67</v>
      </c>
      <c r="P130">
        <f t="shared" si="18"/>
        <v>35830.67</v>
      </c>
      <c r="Q130">
        <f t="shared" si="19"/>
        <v>1.86520926600729</v>
      </c>
      <c r="R130" s="1">
        <v>148710.224</v>
      </c>
      <c r="S130" s="4">
        <v>4107200</v>
      </c>
      <c r="T130">
        <v>36207.20296</v>
      </c>
    </row>
    <row r="131" spans="1:20">
      <c r="A131">
        <v>2023</v>
      </c>
      <c r="B131" t="s">
        <v>21</v>
      </c>
      <c r="C131">
        <v>9427</v>
      </c>
      <c r="D131">
        <v>13444.055</v>
      </c>
      <c r="E131">
        <f t="shared" ref="E131:E177" si="20">D131*1000</f>
        <v>13444055</v>
      </c>
      <c r="F131">
        <f t="shared" ref="F131:F177" si="21">E131/C131</f>
        <v>1426.1223082635</v>
      </c>
      <c r="G131">
        <v>2</v>
      </c>
      <c r="H131">
        <v>4</v>
      </c>
      <c r="I131" s="4">
        <v>8</v>
      </c>
      <c r="J131" s="2">
        <f t="shared" si="16"/>
        <v>14</v>
      </c>
      <c r="K131" s="2">
        <f t="shared" si="17"/>
        <v>0.00148509600084863</v>
      </c>
      <c r="L131" s="2">
        <v>0.4841</v>
      </c>
      <c r="M131">
        <v>82.83</v>
      </c>
      <c r="N131">
        <v>19029</v>
      </c>
      <c r="O131" s="5">
        <v>263.92</v>
      </c>
      <c r="P131">
        <f t="shared" si="18"/>
        <v>19292.92</v>
      </c>
      <c r="Q131">
        <f t="shared" si="19"/>
        <v>2.04655988119232</v>
      </c>
      <c r="R131" s="1">
        <v>51897.111</v>
      </c>
      <c r="S131" s="4">
        <v>2189300</v>
      </c>
      <c r="T131">
        <v>23704.88786</v>
      </c>
    </row>
    <row r="132" spans="1:20">
      <c r="A132">
        <v>2023</v>
      </c>
      <c r="B132" t="s">
        <v>22</v>
      </c>
      <c r="C132">
        <v>15099</v>
      </c>
      <c r="D132">
        <v>7549.37</v>
      </c>
      <c r="E132">
        <f t="shared" si="20"/>
        <v>7549370</v>
      </c>
      <c r="F132">
        <f t="shared" si="21"/>
        <v>499.991390158289</v>
      </c>
      <c r="G132">
        <v>1</v>
      </c>
      <c r="H132">
        <v>0</v>
      </c>
      <c r="I132" s="4">
        <v>7</v>
      </c>
      <c r="J132" s="2">
        <f t="shared" si="16"/>
        <v>8</v>
      </c>
      <c r="K132" s="2">
        <f t="shared" si="17"/>
        <v>0.000529836413007484</v>
      </c>
      <c r="L132" s="2">
        <v>0.7402</v>
      </c>
      <c r="M132">
        <v>83.58</v>
      </c>
      <c r="N132">
        <v>6269</v>
      </c>
      <c r="O132" s="5">
        <v>146.08</v>
      </c>
      <c r="P132">
        <f t="shared" si="18"/>
        <v>6415.08</v>
      </c>
      <c r="Q132">
        <f t="shared" si="19"/>
        <v>0.424867872044506</v>
      </c>
      <c r="R132" s="1">
        <v>27674.208</v>
      </c>
      <c r="S132" s="4">
        <v>1859800</v>
      </c>
      <c r="T132">
        <v>14880.20647</v>
      </c>
    </row>
    <row r="133" spans="1:20">
      <c r="A133">
        <v>2023</v>
      </c>
      <c r="B133" t="s">
        <v>23</v>
      </c>
      <c r="C133">
        <v>1720</v>
      </c>
      <c r="D133">
        <v>15558.661</v>
      </c>
      <c r="E133">
        <f t="shared" si="20"/>
        <v>15558661</v>
      </c>
      <c r="F133">
        <f t="shared" si="21"/>
        <v>9045.73313953488</v>
      </c>
      <c r="G133">
        <v>1</v>
      </c>
      <c r="H133">
        <v>2</v>
      </c>
      <c r="I133" s="4">
        <v>2</v>
      </c>
      <c r="J133" s="2">
        <f t="shared" si="16"/>
        <v>5</v>
      </c>
      <c r="K133" s="2">
        <f t="shared" si="17"/>
        <v>0.00290697674418605</v>
      </c>
      <c r="L133" s="2">
        <v>0.3178</v>
      </c>
      <c r="M133">
        <v>86.67</v>
      </c>
      <c r="N133">
        <v>19961</v>
      </c>
      <c r="O133" s="5">
        <v>248.68</v>
      </c>
      <c r="P133">
        <f t="shared" si="18"/>
        <v>20209.68</v>
      </c>
      <c r="Q133">
        <f t="shared" si="19"/>
        <v>11.7498139534884</v>
      </c>
      <c r="R133" s="1">
        <v>46867.46</v>
      </c>
      <c r="S133" s="4">
        <v>1028300</v>
      </c>
      <c r="T133">
        <v>45577.61354</v>
      </c>
    </row>
    <row r="134" spans="1:20">
      <c r="A134">
        <v>2023</v>
      </c>
      <c r="B134" t="s">
        <v>24</v>
      </c>
      <c r="C134">
        <v>6686</v>
      </c>
      <c r="D134">
        <v>14959.47</v>
      </c>
      <c r="E134">
        <f t="shared" si="20"/>
        <v>14959470</v>
      </c>
      <c r="F134">
        <f t="shared" si="21"/>
        <v>2237.43194735268</v>
      </c>
      <c r="G134">
        <v>0</v>
      </c>
      <c r="H134">
        <v>2</v>
      </c>
      <c r="I134" s="4">
        <v>5</v>
      </c>
      <c r="J134" s="2">
        <f t="shared" si="16"/>
        <v>7</v>
      </c>
      <c r="K134" s="2">
        <f t="shared" si="17"/>
        <v>0.0010469638049656</v>
      </c>
      <c r="L134" s="2">
        <v>0.6172</v>
      </c>
      <c r="M134">
        <v>22.75</v>
      </c>
      <c r="N134">
        <v>10643</v>
      </c>
      <c r="O134" s="5">
        <v>196.35</v>
      </c>
      <c r="P134">
        <f t="shared" si="18"/>
        <v>10839.35</v>
      </c>
      <c r="Q134">
        <f t="shared" si="19"/>
        <v>1.62120101705055</v>
      </c>
      <c r="R134" s="1">
        <v>51927.126</v>
      </c>
      <c r="S134" s="4">
        <v>1224900</v>
      </c>
      <c r="T134">
        <v>42392.95126</v>
      </c>
    </row>
    <row r="135" spans="1:20">
      <c r="A135">
        <v>2023</v>
      </c>
      <c r="B135" t="s">
        <v>25</v>
      </c>
      <c r="C135">
        <v>35965</v>
      </c>
      <c r="D135">
        <v>16455.567</v>
      </c>
      <c r="E135">
        <f t="shared" si="20"/>
        <v>16455567</v>
      </c>
      <c r="F135">
        <f t="shared" si="21"/>
        <v>457.543917697762</v>
      </c>
      <c r="G135">
        <v>2</v>
      </c>
      <c r="H135">
        <v>0</v>
      </c>
      <c r="I135" s="4">
        <v>16</v>
      </c>
      <c r="J135" s="2">
        <f t="shared" si="16"/>
        <v>18</v>
      </c>
      <c r="K135" s="2">
        <f t="shared" si="17"/>
        <v>0.000500486584179063</v>
      </c>
      <c r="L135" s="2">
        <v>0.7757</v>
      </c>
      <c r="M135">
        <v>34.25</v>
      </c>
      <c r="N135">
        <v>33387</v>
      </c>
      <c r="O135" s="5">
        <v>461.15</v>
      </c>
      <c r="P135">
        <f t="shared" si="18"/>
        <v>33848.15</v>
      </c>
      <c r="Q135">
        <f t="shared" si="19"/>
        <v>0.941141387460031</v>
      </c>
      <c r="R135" s="1">
        <v>64995.276</v>
      </c>
      <c r="S135" s="4">
        <v>1643200</v>
      </c>
      <c r="T135">
        <v>39554.08715</v>
      </c>
    </row>
    <row r="136" spans="1:20">
      <c r="A136">
        <v>2023</v>
      </c>
      <c r="B136" t="s">
        <v>26</v>
      </c>
      <c r="C136">
        <v>1031</v>
      </c>
      <c r="D136">
        <v>13127.587</v>
      </c>
      <c r="E136">
        <f t="shared" si="20"/>
        <v>13127587</v>
      </c>
      <c r="F136">
        <f t="shared" si="21"/>
        <v>12732.8680892338</v>
      </c>
      <c r="G136">
        <v>1</v>
      </c>
      <c r="H136">
        <v>4</v>
      </c>
      <c r="I136" s="4">
        <v>5</v>
      </c>
      <c r="J136" s="2">
        <f t="shared" si="16"/>
        <v>10</v>
      </c>
      <c r="K136" s="2">
        <f t="shared" si="17"/>
        <v>0.00969932104752667</v>
      </c>
      <c r="L136" s="2">
        <v>0.2275</v>
      </c>
      <c r="M136">
        <v>80.08</v>
      </c>
      <c r="N136">
        <v>25543</v>
      </c>
      <c r="O136" s="5">
        <v>174.87</v>
      </c>
      <c r="P136">
        <f t="shared" si="18"/>
        <v>25717.87</v>
      </c>
      <c r="Q136">
        <f t="shared" si="19"/>
        <v>24.9445877788555</v>
      </c>
      <c r="R136" s="1">
        <v>115983.459</v>
      </c>
      <c r="S136" s="4">
        <v>1772600</v>
      </c>
      <c r="T136">
        <v>65431.26424</v>
      </c>
    </row>
    <row r="137" spans="1:20">
      <c r="A137">
        <v>2023</v>
      </c>
      <c r="B137" t="s">
        <v>27</v>
      </c>
      <c r="C137">
        <v>21035</v>
      </c>
      <c r="D137">
        <v>17107.518</v>
      </c>
      <c r="E137">
        <f t="shared" si="20"/>
        <v>17107518</v>
      </c>
      <c r="F137">
        <f t="shared" si="21"/>
        <v>813.288233895888</v>
      </c>
      <c r="G137">
        <v>1</v>
      </c>
      <c r="H137">
        <v>12</v>
      </c>
      <c r="I137" s="4">
        <v>13</v>
      </c>
      <c r="J137" s="2">
        <f t="shared" si="16"/>
        <v>26</v>
      </c>
      <c r="K137" s="2">
        <f t="shared" si="17"/>
        <v>0.0012360351794628</v>
      </c>
      <c r="L137" s="2">
        <v>0.6545</v>
      </c>
      <c r="M137">
        <v>89.92</v>
      </c>
      <c r="N137">
        <v>19763</v>
      </c>
      <c r="O137" s="5">
        <v>194.44</v>
      </c>
      <c r="P137">
        <f t="shared" si="18"/>
        <v>19957.44</v>
      </c>
      <c r="Q137">
        <f t="shared" si="19"/>
        <v>0.94877299738531</v>
      </c>
      <c r="R137" s="1">
        <v>82689.048</v>
      </c>
      <c r="S137" s="4">
        <v>2541200</v>
      </c>
      <c r="T137">
        <v>32539.37038</v>
      </c>
    </row>
    <row r="138" spans="1:20">
      <c r="A138">
        <v>2023</v>
      </c>
      <c r="B138" t="s">
        <v>28</v>
      </c>
      <c r="C138">
        <v>821</v>
      </c>
      <c r="D138">
        <v>1950.771</v>
      </c>
      <c r="E138">
        <f t="shared" si="20"/>
        <v>1950771</v>
      </c>
      <c r="F138">
        <f t="shared" si="21"/>
        <v>2376.09135200974</v>
      </c>
      <c r="G138">
        <v>0</v>
      </c>
      <c r="H138">
        <v>2</v>
      </c>
      <c r="I138" s="4">
        <v>2</v>
      </c>
      <c r="J138" s="2">
        <f t="shared" si="16"/>
        <v>4</v>
      </c>
      <c r="K138" s="2">
        <f t="shared" si="17"/>
        <v>0.0048721071863581</v>
      </c>
      <c r="L138" s="2">
        <v>0.3157</v>
      </c>
      <c r="M138">
        <v>86.83</v>
      </c>
      <c r="N138">
        <v>1444</v>
      </c>
      <c r="O138" s="5">
        <v>48</v>
      </c>
      <c r="P138">
        <f t="shared" si="18"/>
        <v>1492</v>
      </c>
      <c r="Q138">
        <f t="shared" si="19"/>
        <v>1.81729598051157</v>
      </c>
      <c r="R138" s="1">
        <v>6344.468</v>
      </c>
      <c r="S138" s="4">
        <v>293100</v>
      </c>
      <c r="T138">
        <v>21646.08666</v>
      </c>
    </row>
    <row r="139" spans="1:20">
      <c r="A139">
        <v>2023</v>
      </c>
      <c r="B139" t="s">
        <v>29</v>
      </c>
      <c r="C139">
        <v>8104</v>
      </c>
      <c r="D139">
        <v>27579.478</v>
      </c>
      <c r="E139">
        <f t="shared" si="20"/>
        <v>27579478</v>
      </c>
      <c r="F139">
        <f t="shared" si="21"/>
        <v>3403.19323790721</v>
      </c>
      <c r="G139">
        <v>1</v>
      </c>
      <c r="H139">
        <v>5</v>
      </c>
      <c r="I139" s="4">
        <v>9</v>
      </c>
      <c r="J139" s="2">
        <f t="shared" si="16"/>
        <v>15</v>
      </c>
      <c r="K139" s="2">
        <f t="shared" si="17"/>
        <v>0.00185093780848963</v>
      </c>
      <c r="L139" s="2">
        <v>0.2637</v>
      </c>
      <c r="M139">
        <v>80.25</v>
      </c>
      <c r="N139">
        <v>32656</v>
      </c>
      <c r="O139" s="5">
        <v>352.53</v>
      </c>
      <c r="P139">
        <f t="shared" si="18"/>
        <v>33008.53</v>
      </c>
      <c r="Q139">
        <f t="shared" si="19"/>
        <v>4.07311574531096</v>
      </c>
      <c r="R139" s="1">
        <v>406785.848</v>
      </c>
      <c r="S139" s="4">
        <v>7209700</v>
      </c>
      <c r="T139">
        <v>56422.02144</v>
      </c>
    </row>
    <row r="140" spans="1:20">
      <c r="A140">
        <v>2023</v>
      </c>
      <c r="B140" t="s">
        <v>30</v>
      </c>
      <c r="C140">
        <v>12955</v>
      </c>
      <c r="D140">
        <v>11760.516</v>
      </c>
      <c r="E140">
        <f t="shared" si="20"/>
        <v>11760516</v>
      </c>
      <c r="F140">
        <f t="shared" si="21"/>
        <v>907.797452720957</v>
      </c>
      <c r="G140">
        <v>1</v>
      </c>
      <c r="H140">
        <v>0</v>
      </c>
      <c r="I140" s="4">
        <v>7</v>
      </c>
      <c r="J140" s="2">
        <f t="shared" si="16"/>
        <v>8</v>
      </c>
      <c r="K140" s="2">
        <f t="shared" si="17"/>
        <v>0.000617522192203782</v>
      </c>
      <c r="L140" s="2">
        <v>0.8843</v>
      </c>
      <c r="M140">
        <v>80.92</v>
      </c>
      <c r="N140">
        <v>10927</v>
      </c>
      <c r="O140" s="5">
        <v>105.12</v>
      </c>
      <c r="P140">
        <f t="shared" si="18"/>
        <v>11032.12</v>
      </c>
      <c r="Q140">
        <f t="shared" si="19"/>
        <v>0.851572365881899</v>
      </c>
      <c r="R140" s="1">
        <v>38235.038</v>
      </c>
      <c r="S140" s="4">
        <v>1210000</v>
      </c>
      <c r="T140">
        <v>31599.20496</v>
      </c>
    </row>
    <row r="141" spans="1:20">
      <c r="A141">
        <v>2023</v>
      </c>
      <c r="B141" t="s">
        <v>31</v>
      </c>
      <c r="C141">
        <v>76115</v>
      </c>
      <c r="D141">
        <v>16080.074</v>
      </c>
      <c r="E141">
        <f t="shared" si="20"/>
        <v>16080074</v>
      </c>
      <c r="F141">
        <f t="shared" si="21"/>
        <v>211.260250936084</v>
      </c>
      <c r="G141">
        <v>4</v>
      </c>
      <c r="H141">
        <v>0</v>
      </c>
      <c r="I141" s="4">
        <v>4</v>
      </c>
      <c r="J141" s="2">
        <f t="shared" si="16"/>
        <v>8</v>
      </c>
      <c r="K141" s="2">
        <f t="shared" si="17"/>
        <v>0.000105104118767654</v>
      </c>
      <c r="L141" s="2">
        <v>0.6238</v>
      </c>
      <c r="M141">
        <v>61.5</v>
      </c>
      <c r="N141">
        <v>26706</v>
      </c>
      <c r="O141" s="5">
        <v>768.95</v>
      </c>
      <c r="P141">
        <f t="shared" si="18"/>
        <v>27474.95</v>
      </c>
      <c r="Q141">
        <f t="shared" si="19"/>
        <v>0.36096630099192</v>
      </c>
      <c r="R141" s="1">
        <v>83470.946</v>
      </c>
      <c r="S141" s="4">
        <v>3596700</v>
      </c>
      <c r="T141">
        <v>23207.64757</v>
      </c>
    </row>
    <row r="142" spans="1:20">
      <c r="A142">
        <v>2023</v>
      </c>
      <c r="B142" t="s">
        <v>32</v>
      </c>
      <c r="C142">
        <v>124450</v>
      </c>
      <c r="D142">
        <v>17901.19</v>
      </c>
      <c r="E142">
        <f t="shared" si="20"/>
        <v>17901190</v>
      </c>
      <c r="F142">
        <f t="shared" si="21"/>
        <v>143.84242667738</v>
      </c>
      <c r="G142">
        <v>8</v>
      </c>
      <c r="H142">
        <v>0</v>
      </c>
      <c r="I142" s="4">
        <v>4</v>
      </c>
      <c r="J142" s="2">
        <f t="shared" si="16"/>
        <v>12</v>
      </c>
      <c r="K142" s="2">
        <f t="shared" si="17"/>
        <v>9.64242667738047e-5</v>
      </c>
      <c r="L142" s="2">
        <v>0.6604</v>
      </c>
      <c r="M142">
        <v>72.83</v>
      </c>
      <c r="N142">
        <v>26592</v>
      </c>
      <c r="O142" s="5">
        <v>1017.3</v>
      </c>
      <c r="P142">
        <f t="shared" si="18"/>
        <v>27609.3</v>
      </c>
      <c r="Q142">
        <f t="shared" si="19"/>
        <v>0.221850542386501</v>
      </c>
      <c r="R142" s="1">
        <v>142760.202</v>
      </c>
      <c r="S142" s="4">
        <v>2502300</v>
      </c>
      <c r="T142">
        <v>57051.59333</v>
      </c>
    </row>
    <row r="143" spans="1:20">
      <c r="A143">
        <v>2023</v>
      </c>
      <c r="B143" t="s">
        <v>33</v>
      </c>
      <c r="C143">
        <v>243</v>
      </c>
      <c r="D143">
        <v>22232.643</v>
      </c>
      <c r="E143">
        <f t="shared" si="20"/>
        <v>22232643</v>
      </c>
      <c r="F143">
        <f t="shared" si="21"/>
        <v>91492.3580246914</v>
      </c>
      <c r="G143">
        <v>2</v>
      </c>
      <c r="H143">
        <v>4</v>
      </c>
      <c r="I143" s="4">
        <v>9</v>
      </c>
      <c r="J143" s="2">
        <f t="shared" si="16"/>
        <v>15</v>
      </c>
      <c r="K143" s="2">
        <f t="shared" si="17"/>
        <v>0.0617283950617284</v>
      </c>
      <c r="L143" s="2">
        <v>0.454</v>
      </c>
      <c r="M143">
        <v>86.58</v>
      </c>
      <c r="N143">
        <v>60872</v>
      </c>
      <c r="O143" s="5">
        <v>0</v>
      </c>
      <c r="P143">
        <f t="shared" si="18"/>
        <v>60872</v>
      </c>
      <c r="Q143">
        <f t="shared" si="19"/>
        <v>250.502057613169</v>
      </c>
      <c r="R143" s="1">
        <v>237185.211</v>
      </c>
      <c r="S143" s="4">
        <v>2005700</v>
      </c>
      <c r="T143">
        <v>118255.57711</v>
      </c>
    </row>
    <row r="144" spans="1:20">
      <c r="A144">
        <v>2023</v>
      </c>
      <c r="B144" t="s">
        <v>34</v>
      </c>
      <c r="C144">
        <v>91.64</v>
      </c>
      <c r="D144">
        <v>331.36</v>
      </c>
      <c r="E144">
        <f t="shared" si="20"/>
        <v>331360</v>
      </c>
      <c r="F144">
        <f t="shared" si="21"/>
        <v>3615.88825840244</v>
      </c>
      <c r="G144">
        <v>1</v>
      </c>
      <c r="H144">
        <v>0</v>
      </c>
      <c r="I144" s="4">
        <v>1</v>
      </c>
      <c r="J144" s="2">
        <f t="shared" si="16"/>
        <v>2</v>
      </c>
      <c r="K144" s="2">
        <f t="shared" si="17"/>
        <v>0.0218245307725884</v>
      </c>
      <c r="L144" s="2">
        <v>0.6419</v>
      </c>
      <c r="M144">
        <v>79.83</v>
      </c>
      <c r="N144">
        <v>2272</v>
      </c>
      <c r="O144" s="5">
        <v>98.23</v>
      </c>
      <c r="P144">
        <f t="shared" si="18"/>
        <v>2370.23</v>
      </c>
      <c r="Q144">
        <f t="shared" si="19"/>
        <v>25.8645787865561</v>
      </c>
      <c r="R144" s="1">
        <v>8124.923</v>
      </c>
      <c r="S144" s="4">
        <v>99000</v>
      </c>
      <c r="T144">
        <v>82069.92929</v>
      </c>
    </row>
    <row r="145" spans="1:20">
      <c r="A145">
        <v>2023</v>
      </c>
      <c r="B145" t="s">
        <v>35</v>
      </c>
      <c r="C145">
        <v>49</v>
      </c>
      <c r="D145">
        <v>1900.379</v>
      </c>
      <c r="E145">
        <f t="shared" si="20"/>
        <v>1900379</v>
      </c>
      <c r="F145">
        <f t="shared" si="21"/>
        <v>38783.2448979592</v>
      </c>
      <c r="G145">
        <v>0</v>
      </c>
      <c r="H145">
        <v>0</v>
      </c>
      <c r="I145">
        <v>1</v>
      </c>
      <c r="J145" s="2">
        <f t="shared" si="16"/>
        <v>1</v>
      </c>
      <c r="K145" s="2">
        <f t="shared" si="17"/>
        <v>0.0204081632653061</v>
      </c>
      <c r="L145" s="2">
        <v>0.3966</v>
      </c>
      <c r="M145">
        <v>84.83</v>
      </c>
      <c r="N145">
        <v>2508</v>
      </c>
      <c r="O145" s="5">
        <v>0</v>
      </c>
      <c r="P145">
        <f t="shared" si="18"/>
        <v>2508</v>
      </c>
      <c r="Q145">
        <f t="shared" si="19"/>
        <v>51.1836734693878</v>
      </c>
      <c r="R145" s="1">
        <v>13028.169</v>
      </c>
      <c r="S145" s="4">
        <v>118800</v>
      </c>
      <c r="T145">
        <v>109664.72222</v>
      </c>
    </row>
    <row r="146" spans="1:20">
      <c r="A146">
        <v>2024</v>
      </c>
      <c r="B146" t="s">
        <v>20</v>
      </c>
      <c r="C146">
        <v>19210</v>
      </c>
      <c r="D146">
        <v>17138.338</v>
      </c>
      <c r="E146">
        <f t="shared" si="20"/>
        <v>17138338</v>
      </c>
      <c r="F146">
        <f t="shared" si="21"/>
        <v>892.157105674128</v>
      </c>
      <c r="G146">
        <v>1</v>
      </c>
      <c r="H146">
        <v>1</v>
      </c>
      <c r="I146" s="4">
        <v>24</v>
      </c>
      <c r="J146" s="2">
        <f t="shared" si="16"/>
        <v>26</v>
      </c>
      <c r="K146" s="2">
        <f t="shared" si="17"/>
        <v>0.00135346173867777</v>
      </c>
      <c r="L146" s="2">
        <v>0.4057</v>
      </c>
      <c r="M146">
        <v>79</v>
      </c>
      <c r="N146">
        <v>36043</v>
      </c>
      <c r="O146" s="5">
        <v>638.74</v>
      </c>
      <c r="P146">
        <f t="shared" si="18"/>
        <v>36681.74</v>
      </c>
      <c r="Q146">
        <f t="shared" si="19"/>
        <v>1.90951275377408</v>
      </c>
      <c r="R146" s="1">
        <v>158348.264</v>
      </c>
      <c r="S146">
        <v>4184400</v>
      </c>
      <c r="T146">
        <v>37842.52557</v>
      </c>
    </row>
    <row r="147" spans="1:20">
      <c r="A147">
        <v>2024</v>
      </c>
      <c r="B147" t="s">
        <v>21</v>
      </c>
      <c r="C147">
        <v>9427</v>
      </c>
      <c r="D147">
        <v>14651.4879543306</v>
      </c>
      <c r="E147">
        <f t="shared" si="20"/>
        <v>14651487.9543306</v>
      </c>
      <c r="F147">
        <f t="shared" si="21"/>
        <v>1554.20472624701</v>
      </c>
      <c r="G147">
        <v>2</v>
      </c>
      <c r="H147">
        <v>4</v>
      </c>
      <c r="I147" s="4">
        <v>8</v>
      </c>
      <c r="J147" s="2">
        <f t="shared" ref="J147:J177" si="22">G147+H147+I147</f>
        <v>14</v>
      </c>
      <c r="K147" s="2">
        <f t="shared" ref="K147:K177" si="23">J147/C147</f>
        <v>0.00148509600084863</v>
      </c>
      <c r="L147" s="2">
        <v>0.4758</v>
      </c>
      <c r="M147">
        <v>70.17</v>
      </c>
      <c r="N147">
        <v>18600</v>
      </c>
      <c r="O147" s="5">
        <v>234.45</v>
      </c>
      <c r="P147">
        <f t="shared" ref="P147:P177" si="24">N147+O147</f>
        <v>18834.45</v>
      </c>
      <c r="Q147">
        <f t="shared" ref="Q147:Q177" si="25">P147/C147</f>
        <v>1.9979261695131</v>
      </c>
      <c r="R147" s="1">
        <v>54101.506</v>
      </c>
      <c r="S147" s="4">
        <v>2217100</v>
      </c>
      <c r="T147">
        <v>24401.92414</v>
      </c>
    </row>
    <row r="148" spans="1:20">
      <c r="A148">
        <v>2024</v>
      </c>
      <c r="B148" t="s">
        <v>22</v>
      </c>
      <c r="C148">
        <v>15099</v>
      </c>
      <c r="D148">
        <v>10514.411</v>
      </c>
      <c r="E148">
        <f t="shared" si="20"/>
        <v>10514411</v>
      </c>
      <c r="F148">
        <f t="shared" si="21"/>
        <v>696.364726140804</v>
      </c>
      <c r="G148">
        <v>1</v>
      </c>
      <c r="H148">
        <v>0</v>
      </c>
      <c r="I148" s="4">
        <v>7</v>
      </c>
      <c r="J148" s="2">
        <f t="shared" si="22"/>
        <v>8</v>
      </c>
      <c r="K148" s="2">
        <f t="shared" si="23"/>
        <v>0.000529836413007484</v>
      </c>
      <c r="L148" s="2">
        <v>0.7296</v>
      </c>
      <c r="M148">
        <v>70.17</v>
      </c>
      <c r="N148">
        <v>6362</v>
      </c>
      <c r="O148" s="5">
        <v>162.84</v>
      </c>
      <c r="P148">
        <f t="shared" si="24"/>
        <v>6524.84</v>
      </c>
      <c r="Q148">
        <f t="shared" si="25"/>
        <v>0.432137227630969</v>
      </c>
      <c r="R148" s="1">
        <v>28599.018</v>
      </c>
      <c r="S148" s="4">
        <v>1887900</v>
      </c>
      <c r="T148">
        <v>15148.58732</v>
      </c>
    </row>
    <row r="149" spans="1:20">
      <c r="A149">
        <v>2024</v>
      </c>
      <c r="B149" t="s">
        <v>23</v>
      </c>
      <c r="C149">
        <v>1720</v>
      </c>
      <c r="D149">
        <v>19128.405</v>
      </c>
      <c r="E149">
        <f t="shared" si="20"/>
        <v>19128405</v>
      </c>
      <c r="F149">
        <f t="shared" si="21"/>
        <v>11121.1656976744</v>
      </c>
      <c r="G149">
        <v>1</v>
      </c>
      <c r="H149">
        <v>2</v>
      </c>
      <c r="I149" s="4">
        <v>2</v>
      </c>
      <c r="J149" s="2">
        <f t="shared" si="22"/>
        <v>5</v>
      </c>
      <c r="K149" s="2">
        <f t="shared" si="23"/>
        <v>0.00290697674418605</v>
      </c>
      <c r="L149" s="2">
        <v>0.3237</v>
      </c>
      <c r="M149">
        <v>82.08</v>
      </c>
      <c r="N149">
        <v>20159</v>
      </c>
      <c r="O149" s="5">
        <v>226.5</v>
      </c>
      <c r="P149">
        <f t="shared" si="24"/>
        <v>20385.5</v>
      </c>
      <c r="Q149">
        <f t="shared" si="25"/>
        <v>11.8520348837209</v>
      </c>
      <c r="R149" s="1">
        <v>48844.201</v>
      </c>
      <c r="S149" s="4">
        <v>1046700</v>
      </c>
      <c r="T149">
        <v>46664.94793</v>
      </c>
    </row>
    <row r="150" spans="1:20">
      <c r="A150">
        <v>2024</v>
      </c>
      <c r="B150" t="s">
        <v>24</v>
      </c>
      <c r="C150">
        <v>6686</v>
      </c>
      <c r="D150">
        <v>17784.532</v>
      </c>
      <c r="E150">
        <f t="shared" si="20"/>
        <v>17784532</v>
      </c>
      <c r="F150">
        <f t="shared" si="21"/>
        <v>2659.96589889321</v>
      </c>
      <c r="G150">
        <v>0</v>
      </c>
      <c r="H150">
        <v>2</v>
      </c>
      <c r="I150" s="4">
        <v>5</v>
      </c>
      <c r="J150" s="2">
        <f t="shared" si="22"/>
        <v>7</v>
      </c>
      <c r="K150" s="2">
        <f t="shared" si="23"/>
        <v>0.0010469638049656</v>
      </c>
      <c r="L150" s="2">
        <v>0.6288</v>
      </c>
      <c r="M150">
        <v>19.33</v>
      </c>
      <c r="N150">
        <v>10856</v>
      </c>
      <c r="O150" s="5">
        <v>219.01</v>
      </c>
      <c r="P150">
        <f t="shared" si="24"/>
        <v>11075.01</v>
      </c>
      <c r="Q150">
        <f t="shared" si="25"/>
        <v>1.65644780137601</v>
      </c>
      <c r="R150" s="1">
        <v>54335.264</v>
      </c>
      <c r="S150" s="4">
        <v>1239500</v>
      </c>
      <c r="T150">
        <v>43836.43727</v>
      </c>
    </row>
    <row r="151" spans="1:20">
      <c r="A151">
        <v>2024</v>
      </c>
      <c r="B151" t="s">
        <v>25</v>
      </c>
      <c r="C151">
        <v>35965</v>
      </c>
      <c r="D151">
        <v>20173.876</v>
      </c>
      <c r="E151">
        <f t="shared" si="20"/>
        <v>20173876</v>
      </c>
      <c r="F151">
        <f t="shared" si="21"/>
        <v>560.930793827332</v>
      </c>
      <c r="G151">
        <v>1</v>
      </c>
      <c r="H151">
        <v>0</v>
      </c>
      <c r="I151" s="4">
        <v>16</v>
      </c>
      <c r="J151" s="2">
        <f t="shared" si="22"/>
        <v>17</v>
      </c>
      <c r="K151" s="2">
        <f t="shared" si="23"/>
        <v>0.000472681773946893</v>
      </c>
      <c r="L151" s="2">
        <v>0.7635</v>
      </c>
      <c r="M151">
        <v>32.83</v>
      </c>
      <c r="N151">
        <v>34323</v>
      </c>
      <c r="O151" s="5">
        <v>505.73</v>
      </c>
      <c r="P151">
        <f t="shared" si="24"/>
        <v>34828.73</v>
      </c>
      <c r="Q151">
        <f t="shared" si="25"/>
        <v>0.968406228277492</v>
      </c>
      <c r="R151" s="1">
        <v>68754.028</v>
      </c>
      <c r="S151" s="4">
        <v>1667700</v>
      </c>
      <c r="T151">
        <v>41226.85615</v>
      </c>
    </row>
    <row r="152" spans="1:20">
      <c r="A152">
        <v>2024</v>
      </c>
      <c r="B152" t="s">
        <v>26</v>
      </c>
      <c r="C152">
        <v>1031</v>
      </c>
      <c r="D152">
        <v>16604.803</v>
      </c>
      <c r="E152">
        <f t="shared" si="20"/>
        <v>16604803</v>
      </c>
      <c r="F152">
        <f t="shared" si="21"/>
        <v>16105.5315227934</v>
      </c>
      <c r="G152">
        <v>1</v>
      </c>
      <c r="H152">
        <v>4</v>
      </c>
      <c r="I152" s="4">
        <v>5</v>
      </c>
      <c r="J152" s="2">
        <f t="shared" si="22"/>
        <v>10</v>
      </c>
      <c r="K152" s="2">
        <f t="shared" si="23"/>
        <v>0.00969932104752667</v>
      </c>
      <c r="L152" s="2">
        <v>0.2231</v>
      </c>
      <c r="M152">
        <v>74.67</v>
      </c>
      <c r="N152">
        <v>26692</v>
      </c>
      <c r="O152" s="5">
        <v>186.15</v>
      </c>
      <c r="P152">
        <f t="shared" si="24"/>
        <v>26878.15</v>
      </c>
      <c r="Q152">
        <f t="shared" si="25"/>
        <v>26.0699806013579</v>
      </c>
      <c r="R152" s="1">
        <v>121437.238</v>
      </c>
      <c r="S152" s="4">
        <v>1800500</v>
      </c>
      <c r="T152">
        <v>67446.39711</v>
      </c>
    </row>
    <row r="153" spans="1:20">
      <c r="A153">
        <v>2024</v>
      </c>
      <c r="B153" t="s">
        <v>27</v>
      </c>
      <c r="C153">
        <v>21035</v>
      </c>
      <c r="D153">
        <v>21776.217</v>
      </c>
      <c r="E153">
        <f t="shared" si="20"/>
        <v>21776217</v>
      </c>
      <c r="F153">
        <f t="shared" si="21"/>
        <v>1035.23731875446</v>
      </c>
      <c r="G153">
        <v>1</v>
      </c>
      <c r="H153">
        <v>12</v>
      </c>
      <c r="I153" s="4">
        <v>14</v>
      </c>
      <c r="J153" s="2">
        <f t="shared" si="22"/>
        <v>27</v>
      </c>
      <c r="K153" s="2">
        <f t="shared" si="23"/>
        <v>0.00128357499405752</v>
      </c>
      <c r="L153" s="2">
        <v>0.6588</v>
      </c>
      <c r="M153">
        <v>84.33</v>
      </c>
      <c r="N153">
        <v>19299</v>
      </c>
      <c r="O153" s="5">
        <v>194.44</v>
      </c>
      <c r="P153">
        <f t="shared" si="24"/>
        <v>19493.44</v>
      </c>
      <c r="Q153">
        <f t="shared" si="25"/>
        <v>0.926714523413359</v>
      </c>
      <c r="R153" s="1">
        <v>86619.938</v>
      </c>
      <c r="S153" s="4">
        <v>2569400</v>
      </c>
      <c r="T153">
        <v>33712.12657</v>
      </c>
    </row>
    <row r="154" spans="1:20">
      <c r="A154">
        <v>2024</v>
      </c>
      <c r="B154" t="s">
        <v>28</v>
      </c>
      <c r="C154">
        <v>821</v>
      </c>
      <c r="D154">
        <v>3225.428</v>
      </c>
      <c r="E154">
        <f t="shared" si="20"/>
        <v>3225428</v>
      </c>
      <c r="F154">
        <f t="shared" si="21"/>
        <v>3928.65773447016</v>
      </c>
      <c r="G154">
        <v>0</v>
      </c>
      <c r="H154">
        <v>2</v>
      </c>
      <c r="I154" s="4">
        <v>2</v>
      </c>
      <c r="J154" s="2">
        <f t="shared" si="22"/>
        <v>4</v>
      </c>
      <c r="K154" s="2">
        <f t="shared" si="23"/>
        <v>0.0048721071863581</v>
      </c>
      <c r="L154" s="2">
        <v>0.3301</v>
      </c>
      <c r="M154">
        <v>75.75</v>
      </c>
      <c r="N154">
        <v>1489</v>
      </c>
      <c r="O154" s="5">
        <v>48</v>
      </c>
      <c r="P154">
        <f t="shared" si="24"/>
        <v>1537</v>
      </c>
      <c r="Q154">
        <f t="shared" si="25"/>
        <v>1.8721071863581</v>
      </c>
      <c r="R154" s="1">
        <v>6544.734</v>
      </c>
      <c r="S154" s="4">
        <v>296800</v>
      </c>
      <c r="T154">
        <v>22050.99057</v>
      </c>
    </row>
    <row r="155" spans="1:20">
      <c r="A155">
        <v>2024</v>
      </c>
      <c r="B155" t="s">
        <v>29</v>
      </c>
      <c r="C155">
        <v>8104</v>
      </c>
      <c r="D155">
        <v>34460.8280456694</v>
      </c>
      <c r="E155">
        <f t="shared" si="20"/>
        <v>34460828.0456694</v>
      </c>
      <c r="F155">
        <f t="shared" si="21"/>
        <v>4252.32330277263</v>
      </c>
      <c r="G155">
        <v>1</v>
      </c>
      <c r="H155">
        <v>5</v>
      </c>
      <c r="I155" s="4">
        <v>10</v>
      </c>
      <c r="J155" s="2">
        <f t="shared" si="22"/>
        <v>16</v>
      </c>
      <c r="K155" s="2">
        <f t="shared" si="23"/>
        <v>0.00197433366238894</v>
      </c>
      <c r="L155" s="2">
        <v>0.2596</v>
      </c>
      <c r="M155">
        <v>67</v>
      </c>
      <c r="N155">
        <v>34883</v>
      </c>
      <c r="O155" s="5">
        <v>368.41</v>
      </c>
      <c r="P155">
        <f t="shared" si="24"/>
        <v>35251.41</v>
      </c>
      <c r="Q155">
        <f t="shared" si="25"/>
        <v>4.34987783810464</v>
      </c>
      <c r="R155" s="1">
        <v>432929.901</v>
      </c>
      <c r="S155" s="4">
        <v>7362700</v>
      </c>
      <c r="T155">
        <v>58800.42661</v>
      </c>
    </row>
    <row r="156" spans="1:20">
      <c r="A156">
        <v>2024</v>
      </c>
      <c r="B156" t="s">
        <v>30</v>
      </c>
      <c r="C156">
        <v>12955</v>
      </c>
      <c r="D156">
        <v>14460.728</v>
      </c>
      <c r="E156">
        <f t="shared" si="20"/>
        <v>14460728</v>
      </c>
      <c r="F156">
        <f t="shared" si="21"/>
        <v>1116.22755692783</v>
      </c>
      <c r="G156">
        <v>2</v>
      </c>
      <c r="H156">
        <v>0</v>
      </c>
      <c r="I156" s="4">
        <v>7</v>
      </c>
      <c r="J156" s="2">
        <f t="shared" si="22"/>
        <v>9</v>
      </c>
      <c r="K156" s="2">
        <f t="shared" si="23"/>
        <v>0.000694712466229255</v>
      </c>
      <c r="L156" s="2">
        <v>0.8592</v>
      </c>
      <c r="M156">
        <v>71.25</v>
      </c>
      <c r="N156">
        <v>11190</v>
      </c>
      <c r="O156" s="5">
        <v>120.29</v>
      </c>
      <c r="P156">
        <f t="shared" si="24"/>
        <v>11310.29</v>
      </c>
      <c r="Q156">
        <f t="shared" si="25"/>
        <v>0.873044384407565</v>
      </c>
      <c r="R156" s="1">
        <v>39951.104</v>
      </c>
      <c r="S156" s="4">
        <v>1231500</v>
      </c>
      <c r="T156">
        <v>32441.01015</v>
      </c>
    </row>
    <row r="157" spans="1:20">
      <c r="A157">
        <v>2024</v>
      </c>
      <c r="B157" t="s">
        <v>31</v>
      </c>
      <c r="C157">
        <v>76115</v>
      </c>
      <c r="D157">
        <v>20591.813</v>
      </c>
      <c r="E157">
        <f t="shared" si="20"/>
        <v>20591813</v>
      </c>
      <c r="F157">
        <f t="shared" si="21"/>
        <v>270.535544899166</v>
      </c>
      <c r="G157">
        <v>4</v>
      </c>
      <c r="H157">
        <v>0</v>
      </c>
      <c r="I157" s="4">
        <v>4</v>
      </c>
      <c r="J157" s="2">
        <f t="shared" si="22"/>
        <v>8</v>
      </c>
      <c r="K157" s="2">
        <f t="shared" si="23"/>
        <v>0.000105104118767654</v>
      </c>
      <c r="L157" s="2">
        <v>0.6005</v>
      </c>
      <c r="M157">
        <v>57</v>
      </c>
      <c r="N157">
        <v>27208</v>
      </c>
      <c r="O157" s="5">
        <v>938.09</v>
      </c>
      <c r="P157">
        <f t="shared" si="24"/>
        <v>28146.09</v>
      </c>
      <c r="Q157">
        <f t="shared" si="25"/>
        <v>0.369783748275636</v>
      </c>
      <c r="R157" s="1">
        <v>84506.014</v>
      </c>
      <c r="S157" s="4">
        <v>3742000</v>
      </c>
      <c r="T157">
        <v>22583.11438</v>
      </c>
    </row>
    <row r="158" spans="1:20">
      <c r="A158">
        <v>2024</v>
      </c>
      <c r="B158" t="s">
        <v>32</v>
      </c>
      <c r="C158">
        <v>124450</v>
      </c>
      <c r="D158">
        <v>19625.552</v>
      </c>
      <c r="E158">
        <f t="shared" si="20"/>
        <v>19625552</v>
      </c>
      <c r="F158">
        <f t="shared" si="21"/>
        <v>157.698288469265</v>
      </c>
      <c r="G158">
        <v>8</v>
      </c>
      <c r="H158">
        <v>0</v>
      </c>
      <c r="I158" s="4">
        <v>4</v>
      </c>
      <c r="J158" s="2">
        <f t="shared" si="22"/>
        <v>12</v>
      </c>
      <c r="K158" s="2">
        <f t="shared" si="23"/>
        <v>9.64242667738047e-5</v>
      </c>
      <c r="L158" s="2">
        <v>0.6579</v>
      </c>
      <c r="M158">
        <v>70.33</v>
      </c>
      <c r="N158">
        <v>27913</v>
      </c>
      <c r="O158" s="5">
        <v>1167.15</v>
      </c>
      <c r="P158">
        <f t="shared" si="24"/>
        <v>29080.15</v>
      </c>
      <c r="Q158">
        <f t="shared" si="25"/>
        <v>0.233669345118521</v>
      </c>
      <c r="R158" s="1">
        <v>148189.153</v>
      </c>
      <c r="S158" s="4">
        <v>2517500</v>
      </c>
      <c r="T158">
        <v>58863.61589</v>
      </c>
    </row>
    <row r="159" spans="1:20">
      <c r="A159">
        <v>2024</v>
      </c>
      <c r="B159" t="s">
        <v>33</v>
      </c>
      <c r="C159">
        <v>243</v>
      </c>
      <c r="D159">
        <v>26982.957</v>
      </c>
      <c r="E159">
        <f t="shared" si="20"/>
        <v>26982957</v>
      </c>
      <c r="F159">
        <f t="shared" si="21"/>
        <v>111040.975308642</v>
      </c>
      <c r="G159">
        <v>2</v>
      </c>
      <c r="H159">
        <v>4</v>
      </c>
      <c r="I159" s="4">
        <v>9</v>
      </c>
      <c r="J159" s="2">
        <f t="shared" si="22"/>
        <v>15</v>
      </c>
      <c r="K159" s="2">
        <f t="shared" si="23"/>
        <v>0.0617283950617284</v>
      </c>
      <c r="L159" s="2">
        <v>0.4406</v>
      </c>
      <c r="M159">
        <v>81.42</v>
      </c>
      <c r="N159">
        <v>63973</v>
      </c>
      <c r="O159" s="5">
        <v>0</v>
      </c>
      <c r="P159">
        <f t="shared" si="24"/>
        <v>63973</v>
      </c>
      <c r="Q159">
        <f t="shared" si="25"/>
        <v>263.263374485597</v>
      </c>
      <c r="R159" s="1">
        <v>251946.876</v>
      </c>
      <c r="S159" s="4">
        <v>2067500</v>
      </c>
      <c r="T159">
        <v>121860.64135</v>
      </c>
    </row>
    <row r="160" spans="1:20">
      <c r="A160">
        <v>2024</v>
      </c>
      <c r="B160" t="s">
        <v>34</v>
      </c>
      <c r="C160">
        <v>91.64</v>
      </c>
      <c r="D160">
        <v>449.63</v>
      </c>
      <c r="E160">
        <f t="shared" si="20"/>
        <v>449630</v>
      </c>
      <c r="F160">
        <f t="shared" si="21"/>
        <v>4906.48188563946</v>
      </c>
      <c r="G160">
        <v>1</v>
      </c>
      <c r="H160">
        <v>0</v>
      </c>
      <c r="I160" s="4">
        <v>1</v>
      </c>
      <c r="J160" s="2">
        <f t="shared" si="22"/>
        <v>2</v>
      </c>
      <c r="K160" s="2">
        <f t="shared" si="23"/>
        <v>0.0218245307725884</v>
      </c>
      <c r="L160" s="2">
        <v>0.392</v>
      </c>
      <c r="M160">
        <v>84.33</v>
      </c>
      <c r="N160">
        <v>2296</v>
      </c>
      <c r="O160" s="5">
        <v>98.23</v>
      </c>
      <c r="P160">
        <f t="shared" si="24"/>
        <v>2394.23</v>
      </c>
      <c r="Q160">
        <f t="shared" si="25"/>
        <v>26.1264731558271</v>
      </c>
      <c r="R160" s="1">
        <v>8553.218</v>
      </c>
      <c r="S160" s="4">
        <v>100800</v>
      </c>
      <c r="T160">
        <v>84853.35317</v>
      </c>
    </row>
    <row r="161" spans="1:20">
      <c r="A161">
        <v>2024</v>
      </c>
      <c r="B161" t="s">
        <v>35</v>
      </c>
      <c r="C161">
        <v>49</v>
      </c>
      <c r="D161">
        <v>2556.836</v>
      </c>
      <c r="E161">
        <f t="shared" si="20"/>
        <v>2556836</v>
      </c>
      <c r="F161">
        <f t="shared" si="21"/>
        <v>52180.3265306122</v>
      </c>
      <c r="G161">
        <v>0</v>
      </c>
      <c r="H161">
        <v>0</v>
      </c>
      <c r="I161">
        <v>1</v>
      </c>
      <c r="J161" s="2">
        <f t="shared" si="22"/>
        <v>1</v>
      </c>
      <c r="K161" s="2">
        <f t="shared" si="23"/>
        <v>0.0204081632653061</v>
      </c>
      <c r="L161" s="2">
        <v>0.3855</v>
      </c>
      <c r="M161">
        <v>79.33</v>
      </c>
      <c r="N161">
        <v>2580</v>
      </c>
      <c r="O161" s="5">
        <v>0</v>
      </c>
      <c r="P161">
        <f t="shared" si="24"/>
        <v>2580</v>
      </c>
      <c r="Q161">
        <f t="shared" si="25"/>
        <v>52.6530612244898</v>
      </c>
      <c r="R161" s="1">
        <v>13702.485</v>
      </c>
      <c r="S161" s="4">
        <v>120300</v>
      </c>
      <c r="T161">
        <v>113902.61845</v>
      </c>
    </row>
    <row r="162" spans="1:20">
      <c r="A162">
        <v>2025</v>
      </c>
      <c r="B162" t="s">
        <v>20</v>
      </c>
      <c r="C162">
        <v>19210</v>
      </c>
      <c r="D162">
        <v>18196.973</v>
      </c>
      <c r="E162">
        <f t="shared" si="20"/>
        <v>18196973</v>
      </c>
      <c r="F162">
        <f t="shared" si="21"/>
        <v>947.265642894326</v>
      </c>
      <c r="G162">
        <v>1</v>
      </c>
      <c r="H162">
        <v>10</v>
      </c>
      <c r="I162" s="4">
        <v>24</v>
      </c>
      <c r="J162" s="2">
        <f t="shared" si="22"/>
        <v>35</v>
      </c>
      <c r="K162" s="2">
        <f t="shared" si="23"/>
        <v>0.00182196772514315</v>
      </c>
      <c r="L162" s="2">
        <v>0.4134</v>
      </c>
      <c r="M162">
        <v>74.67</v>
      </c>
      <c r="N162">
        <v>35799</v>
      </c>
      <c r="O162" s="5">
        <v>543.67</v>
      </c>
      <c r="P162">
        <f t="shared" si="24"/>
        <v>36342.67</v>
      </c>
      <c r="Q162">
        <f t="shared" si="25"/>
        <v>1.8918620510151</v>
      </c>
      <c r="R162" s="1">
        <v>170947.488</v>
      </c>
      <c r="S162" s="4">
        <v>4204100</v>
      </c>
      <c r="T162">
        <v>40662.08891</v>
      </c>
    </row>
    <row r="163" spans="1:20">
      <c r="A163">
        <v>2025</v>
      </c>
      <c r="B163" t="s">
        <v>21</v>
      </c>
      <c r="C163">
        <v>9427</v>
      </c>
      <c r="D163">
        <v>15607.884</v>
      </c>
      <c r="E163">
        <f t="shared" si="20"/>
        <v>15607884</v>
      </c>
      <c r="F163">
        <f t="shared" si="21"/>
        <v>1655.65757929352</v>
      </c>
      <c r="G163">
        <v>2</v>
      </c>
      <c r="H163">
        <v>4</v>
      </c>
      <c r="I163" s="4">
        <v>8</v>
      </c>
      <c r="J163" s="2">
        <f t="shared" si="22"/>
        <v>14</v>
      </c>
      <c r="K163" s="2">
        <f t="shared" si="23"/>
        <v>0.00148509600084863</v>
      </c>
      <c r="L163" s="2">
        <v>0.4832</v>
      </c>
      <c r="M163">
        <v>65.67</v>
      </c>
      <c r="N163">
        <v>18679</v>
      </c>
      <c r="O163" s="5">
        <v>216.52</v>
      </c>
      <c r="P163">
        <f t="shared" si="24"/>
        <v>18895.52</v>
      </c>
      <c r="Q163">
        <f t="shared" si="25"/>
        <v>2.00440437042537</v>
      </c>
      <c r="R163" s="1">
        <v>56303.087</v>
      </c>
      <c r="S163" s="4">
        <v>2227100</v>
      </c>
      <c r="T163">
        <v>25280.89758</v>
      </c>
    </row>
    <row r="164" spans="1:20">
      <c r="A164">
        <v>2025</v>
      </c>
      <c r="B164" t="s">
        <v>22</v>
      </c>
      <c r="C164">
        <v>15099</v>
      </c>
      <c r="D164">
        <v>12062.016</v>
      </c>
      <c r="E164">
        <f t="shared" si="20"/>
        <v>12062016</v>
      </c>
      <c r="F164">
        <f t="shared" si="21"/>
        <v>798.86191138486</v>
      </c>
      <c r="G164">
        <v>1</v>
      </c>
      <c r="H164">
        <v>0</v>
      </c>
      <c r="I164" s="4">
        <v>7</v>
      </c>
      <c r="J164" s="2">
        <f t="shared" si="22"/>
        <v>8</v>
      </c>
      <c r="K164" s="2">
        <f t="shared" si="23"/>
        <v>0.000529836413007484</v>
      </c>
      <c r="L164" s="2">
        <v>0.7438</v>
      </c>
      <c r="M164">
        <v>62.5</v>
      </c>
      <c r="N164">
        <v>6392</v>
      </c>
      <c r="O164" s="5">
        <v>168.83</v>
      </c>
      <c r="P164">
        <f t="shared" si="24"/>
        <v>6560.83</v>
      </c>
      <c r="Q164">
        <f t="shared" si="25"/>
        <v>0.434520829193986</v>
      </c>
      <c r="R164" s="1">
        <v>29775.762</v>
      </c>
      <c r="S164" s="4">
        <v>1906900</v>
      </c>
      <c r="T164">
        <v>15614.7475</v>
      </c>
    </row>
    <row r="165" spans="1:20">
      <c r="A165">
        <v>2025</v>
      </c>
      <c r="B165" t="s">
        <v>23</v>
      </c>
      <c r="C165">
        <v>1720</v>
      </c>
      <c r="D165">
        <v>20832.201530282</v>
      </c>
      <c r="E165">
        <f t="shared" si="20"/>
        <v>20832201.530282</v>
      </c>
      <c r="F165">
        <f t="shared" si="21"/>
        <v>12111.7450757453</v>
      </c>
      <c r="G165">
        <v>1</v>
      </c>
      <c r="H165">
        <v>2</v>
      </c>
      <c r="I165" s="4">
        <v>2</v>
      </c>
      <c r="J165" s="2">
        <f t="shared" si="22"/>
        <v>5</v>
      </c>
      <c r="K165" s="2">
        <f t="shared" si="23"/>
        <v>0.00290697674418605</v>
      </c>
      <c r="L165" s="2">
        <v>0.3396</v>
      </c>
      <c r="M165">
        <v>75.33</v>
      </c>
      <c r="N165">
        <v>20655</v>
      </c>
      <c r="O165" s="5">
        <v>163.15</v>
      </c>
      <c r="P165">
        <f t="shared" si="24"/>
        <v>20818.15</v>
      </c>
      <c r="Q165">
        <f t="shared" si="25"/>
        <v>12.1035755813953</v>
      </c>
      <c r="R165" s="1">
        <v>50286.011</v>
      </c>
      <c r="S165" s="4">
        <v>1052000</v>
      </c>
      <c r="T165">
        <v>47800.39068</v>
      </c>
    </row>
    <row r="166" spans="1:20">
      <c r="A166">
        <v>2025</v>
      </c>
      <c r="B166" t="s">
        <v>24</v>
      </c>
      <c r="C166">
        <v>6686</v>
      </c>
      <c r="D166">
        <v>19356.545</v>
      </c>
      <c r="E166">
        <f t="shared" si="20"/>
        <v>19356545</v>
      </c>
      <c r="F166">
        <f t="shared" si="21"/>
        <v>2895.08600059826</v>
      </c>
      <c r="G166">
        <v>0</v>
      </c>
      <c r="H166">
        <v>2</v>
      </c>
      <c r="I166" s="4">
        <v>5</v>
      </c>
      <c r="J166" s="2">
        <f t="shared" si="22"/>
        <v>7</v>
      </c>
      <c r="K166" s="2">
        <f t="shared" si="23"/>
        <v>0.0010469638049656</v>
      </c>
      <c r="L166" s="2">
        <v>0.6407</v>
      </c>
      <c r="M166">
        <v>19.5</v>
      </c>
      <c r="N166">
        <v>11527</v>
      </c>
      <c r="O166" s="5">
        <v>229.58</v>
      </c>
      <c r="P166">
        <f t="shared" si="24"/>
        <v>11756.58</v>
      </c>
      <c r="Q166">
        <f t="shared" si="25"/>
        <v>1.75838767574035</v>
      </c>
      <c r="R166" s="1">
        <v>55767.291</v>
      </c>
      <c r="S166" s="4">
        <v>1243900</v>
      </c>
      <c r="T166">
        <v>44832.61597</v>
      </c>
    </row>
    <row r="167" spans="1:20">
      <c r="A167">
        <v>2025</v>
      </c>
      <c r="B167" t="s">
        <v>25</v>
      </c>
      <c r="C167">
        <v>35965</v>
      </c>
      <c r="D167">
        <v>23161.166</v>
      </c>
      <c r="E167">
        <f t="shared" si="20"/>
        <v>23161166</v>
      </c>
      <c r="F167">
        <f t="shared" si="21"/>
        <v>643.991825385792</v>
      </c>
      <c r="G167">
        <v>1</v>
      </c>
      <c r="H167">
        <v>0</v>
      </c>
      <c r="I167" s="4">
        <v>16</v>
      </c>
      <c r="J167" s="2">
        <f t="shared" si="22"/>
        <v>17</v>
      </c>
      <c r="K167" s="2">
        <f t="shared" si="23"/>
        <v>0.000472681773946893</v>
      </c>
      <c r="L167" s="2">
        <v>0.7451</v>
      </c>
      <c r="M167">
        <v>31.67</v>
      </c>
      <c r="N167">
        <v>34401</v>
      </c>
      <c r="O167" s="5">
        <v>345.51</v>
      </c>
      <c r="P167">
        <f t="shared" si="24"/>
        <v>34746.51</v>
      </c>
      <c r="Q167">
        <f t="shared" si="25"/>
        <v>0.966120116780203</v>
      </c>
      <c r="R167" s="1">
        <v>70962.277</v>
      </c>
      <c r="S167" s="4">
        <v>1676800</v>
      </c>
      <c r="T167">
        <v>42320.06023</v>
      </c>
    </row>
    <row r="168" spans="1:20">
      <c r="A168">
        <v>2025</v>
      </c>
      <c r="B168" t="s">
        <v>26</v>
      </c>
      <c r="C168">
        <v>1031</v>
      </c>
      <c r="D168">
        <v>17717.979</v>
      </c>
      <c r="E168">
        <f t="shared" si="20"/>
        <v>17717979</v>
      </c>
      <c r="F168">
        <f t="shared" si="21"/>
        <v>17185.2366634336</v>
      </c>
      <c r="G168">
        <v>1</v>
      </c>
      <c r="H168">
        <v>4</v>
      </c>
      <c r="I168" s="4">
        <v>5</v>
      </c>
      <c r="J168" s="2">
        <f t="shared" si="22"/>
        <v>10</v>
      </c>
      <c r="K168" s="2">
        <f t="shared" si="23"/>
        <v>0.00969932104752667</v>
      </c>
      <c r="L168" s="2">
        <v>0.2526</v>
      </c>
      <c r="M168">
        <v>72.67</v>
      </c>
      <c r="N168">
        <v>28045</v>
      </c>
      <c r="O168" s="5">
        <v>174.87</v>
      </c>
      <c r="P168">
        <f t="shared" si="24"/>
        <v>28219.87</v>
      </c>
      <c r="Q168">
        <f t="shared" si="25"/>
        <v>27.3713579049467</v>
      </c>
      <c r="R168" s="1">
        <v>130283.385</v>
      </c>
      <c r="S168" s="4">
        <v>1804300</v>
      </c>
      <c r="T168">
        <v>72207.16344</v>
      </c>
    </row>
    <row r="169" spans="1:20">
      <c r="A169">
        <v>2025</v>
      </c>
      <c r="B169" t="s">
        <v>27</v>
      </c>
      <c r="C169">
        <v>21035</v>
      </c>
      <c r="D169">
        <v>23642.055</v>
      </c>
      <c r="E169">
        <f t="shared" si="20"/>
        <v>23642055</v>
      </c>
      <c r="F169">
        <f t="shared" si="21"/>
        <v>1123.93891133825</v>
      </c>
      <c r="G169">
        <v>1</v>
      </c>
      <c r="H169">
        <v>12</v>
      </c>
      <c r="I169" s="4">
        <v>14</v>
      </c>
      <c r="J169" s="2">
        <f t="shared" si="22"/>
        <v>27</v>
      </c>
      <c r="K169" s="2">
        <f t="shared" si="23"/>
        <v>0.00128357499405752</v>
      </c>
      <c r="L169" s="2">
        <v>0.6778</v>
      </c>
      <c r="M169">
        <v>79.67</v>
      </c>
      <c r="N169">
        <v>19572</v>
      </c>
      <c r="O169" s="5">
        <v>194.44</v>
      </c>
      <c r="P169">
        <f t="shared" si="24"/>
        <v>19766.44</v>
      </c>
      <c r="Q169">
        <f t="shared" si="25"/>
        <v>0.939692892797718</v>
      </c>
      <c r="R169" s="1">
        <v>91529.379</v>
      </c>
      <c r="S169" s="4">
        <v>2573800</v>
      </c>
      <c r="T169">
        <v>35561.96247</v>
      </c>
    </row>
    <row r="170" spans="1:20">
      <c r="A170">
        <v>2025</v>
      </c>
      <c r="B170" t="s">
        <v>28</v>
      </c>
      <c r="C170">
        <v>821</v>
      </c>
      <c r="D170">
        <v>3755.682</v>
      </c>
      <c r="E170">
        <f t="shared" si="20"/>
        <v>3755682</v>
      </c>
      <c r="F170">
        <f t="shared" si="21"/>
        <v>4574.52131546894</v>
      </c>
      <c r="G170">
        <v>0</v>
      </c>
      <c r="H170">
        <v>2</v>
      </c>
      <c r="I170" s="4">
        <v>2</v>
      </c>
      <c r="J170" s="2">
        <f t="shared" si="22"/>
        <v>4</v>
      </c>
      <c r="K170" s="2">
        <f t="shared" si="23"/>
        <v>0.0048721071863581</v>
      </c>
      <c r="L170" s="2">
        <v>0.348</v>
      </c>
      <c r="M170">
        <v>68</v>
      </c>
      <c r="N170">
        <v>1553</v>
      </c>
      <c r="O170" s="5">
        <v>48</v>
      </c>
      <c r="P170">
        <f t="shared" si="24"/>
        <v>1601</v>
      </c>
      <c r="Q170">
        <f t="shared" si="25"/>
        <v>1.95006090133983</v>
      </c>
      <c r="R170" s="1">
        <v>6675.575</v>
      </c>
      <c r="S170" s="4">
        <v>297000</v>
      </c>
      <c r="T170">
        <v>22476.6835</v>
      </c>
    </row>
    <row r="171" spans="1:20">
      <c r="A171">
        <v>2025</v>
      </c>
      <c r="B171" t="s">
        <v>29</v>
      </c>
      <c r="C171">
        <v>8104</v>
      </c>
      <c r="D171">
        <v>36376.442</v>
      </c>
      <c r="E171">
        <f t="shared" si="20"/>
        <v>36376442</v>
      </c>
      <c r="F171">
        <f t="shared" si="21"/>
        <v>4488.70212240869</v>
      </c>
      <c r="G171">
        <v>1</v>
      </c>
      <c r="H171">
        <v>5</v>
      </c>
      <c r="I171" s="4">
        <v>10</v>
      </c>
      <c r="J171" s="2">
        <f t="shared" si="22"/>
        <v>16</v>
      </c>
      <c r="K171" s="2">
        <f t="shared" si="23"/>
        <v>0.00197433366238894</v>
      </c>
      <c r="L171" s="2">
        <v>0.2722</v>
      </c>
      <c r="M171">
        <v>64.75</v>
      </c>
      <c r="N171">
        <v>35066</v>
      </c>
      <c r="O171" s="5">
        <v>374.76</v>
      </c>
      <c r="P171">
        <f t="shared" si="24"/>
        <v>35440.76</v>
      </c>
      <c r="Q171">
        <f t="shared" si="25"/>
        <v>4.37324284304047</v>
      </c>
      <c r="R171" s="1">
        <v>460113.648</v>
      </c>
      <c r="S171" s="4">
        <v>7408700</v>
      </c>
      <c r="T171">
        <v>62104.50524</v>
      </c>
    </row>
    <row r="172" spans="1:20">
      <c r="A172">
        <v>2025</v>
      </c>
      <c r="B172" t="s">
        <v>30</v>
      </c>
      <c r="C172">
        <v>12955</v>
      </c>
      <c r="D172">
        <v>15462.278</v>
      </c>
      <c r="E172">
        <f t="shared" si="20"/>
        <v>15462278</v>
      </c>
      <c r="F172">
        <f t="shared" si="21"/>
        <v>1193.53747587804</v>
      </c>
      <c r="G172">
        <v>2</v>
      </c>
      <c r="H172">
        <v>0</v>
      </c>
      <c r="I172" s="4">
        <v>7</v>
      </c>
      <c r="J172" s="2">
        <f t="shared" si="22"/>
        <v>9</v>
      </c>
      <c r="K172" s="2">
        <f t="shared" si="23"/>
        <v>0.000694712466229255</v>
      </c>
      <c r="L172" s="2">
        <v>0.8715</v>
      </c>
      <c r="M172">
        <v>64.33</v>
      </c>
      <c r="N172">
        <v>11314</v>
      </c>
      <c r="O172" s="5">
        <v>126.35</v>
      </c>
      <c r="P172">
        <f t="shared" si="24"/>
        <v>11440.35</v>
      </c>
      <c r="Q172">
        <f t="shared" si="25"/>
        <v>0.883083751447318</v>
      </c>
      <c r="R172" s="1">
        <v>40596.613</v>
      </c>
      <c r="S172" s="4">
        <v>1245800</v>
      </c>
      <c r="T172">
        <v>32586.78199</v>
      </c>
    </row>
    <row r="173" spans="1:20">
      <c r="A173">
        <v>2025</v>
      </c>
      <c r="B173" t="s">
        <v>31</v>
      </c>
      <c r="C173">
        <v>76115</v>
      </c>
      <c r="D173">
        <v>22361.168</v>
      </c>
      <c r="E173">
        <f t="shared" si="20"/>
        <v>22361168</v>
      </c>
      <c r="F173">
        <f t="shared" si="21"/>
        <v>293.781357156934</v>
      </c>
      <c r="G173">
        <v>4</v>
      </c>
      <c r="H173">
        <v>0</v>
      </c>
      <c r="I173" s="4">
        <v>4</v>
      </c>
      <c r="J173" s="2">
        <f t="shared" si="22"/>
        <v>8</v>
      </c>
      <c r="K173" s="2">
        <f t="shared" si="23"/>
        <v>0.000105104118767654</v>
      </c>
      <c r="L173" s="2">
        <v>0.5881</v>
      </c>
      <c r="M173">
        <v>60</v>
      </c>
      <c r="N173">
        <v>27254</v>
      </c>
      <c r="O173" s="5">
        <v>1025.27</v>
      </c>
      <c r="P173">
        <f t="shared" si="24"/>
        <v>28279.27</v>
      </c>
      <c r="Q173">
        <f t="shared" si="25"/>
        <v>0.37153346909282</v>
      </c>
      <c r="R173" s="1">
        <v>88773.954</v>
      </c>
      <c r="S173" s="4">
        <v>3754500</v>
      </c>
      <c r="T173">
        <v>23644.68078</v>
      </c>
    </row>
    <row r="174" spans="1:20">
      <c r="A174">
        <v>2025</v>
      </c>
      <c r="B174" t="s">
        <v>32</v>
      </c>
      <c r="C174">
        <v>124450</v>
      </c>
      <c r="D174">
        <v>22721.527</v>
      </c>
      <c r="E174">
        <f t="shared" si="20"/>
        <v>22721527</v>
      </c>
      <c r="F174">
        <f t="shared" si="21"/>
        <v>182.575548413017</v>
      </c>
      <c r="G174">
        <v>8</v>
      </c>
      <c r="H174">
        <v>0</v>
      </c>
      <c r="I174" s="4">
        <v>5</v>
      </c>
      <c r="J174" s="2">
        <f t="shared" si="22"/>
        <v>13</v>
      </c>
      <c r="K174" s="2">
        <f t="shared" si="23"/>
        <v>0.000104459622338288</v>
      </c>
      <c r="L174" s="2">
        <v>0.6734</v>
      </c>
      <c r="M174">
        <v>74.92</v>
      </c>
      <c r="N174">
        <v>28236</v>
      </c>
      <c r="O174" s="5">
        <v>1331.42</v>
      </c>
      <c r="P174">
        <f t="shared" si="24"/>
        <v>29567.42</v>
      </c>
      <c r="Q174">
        <f t="shared" si="25"/>
        <v>0.237584732824427</v>
      </c>
      <c r="R174" s="1">
        <v>153511.242</v>
      </c>
      <c r="S174" s="4">
        <v>2528900</v>
      </c>
      <c r="T174">
        <v>60702.77275</v>
      </c>
    </row>
    <row r="175" spans="1:20">
      <c r="A175">
        <v>2025</v>
      </c>
      <c r="B175" t="s">
        <v>33</v>
      </c>
      <c r="C175">
        <v>243</v>
      </c>
      <c r="D175">
        <v>35059.9331815272</v>
      </c>
      <c r="E175">
        <f t="shared" si="20"/>
        <v>35059933.1815272</v>
      </c>
      <c r="F175">
        <f t="shared" si="21"/>
        <v>144279.560417807</v>
      </c>
      <c r="G175">
        <v>2</v>
      </c>
      <c r="H175">
        <v>4</v>
      </c>
      <c r="I175" s="4">
        <v>9</v>
      </c>
      <c r="J175" s="2">
        <f t="shared" si="22"/>
        <v>15</v>
      </c>
      <c r="K175" s="2">
        <f t="shared" si="23"/>
        <v>0.0617283950617284</v>
      </c>
      <c r="L175" s="2">
        <v>0.4415</v>
      </c>
      <c r="M175">
        <v>81.92</v>
      </c>
      <c r="N175">
        <v>66133</v>
      </c>
      <c r="O175" s="5">
        <v>0</v>
      </c>
      <c r="P175">
        <f t="shared" si="24"/>
        <v>66133</v>
      </c>
      <c r="Q175">
        <f t="shared" si="25"/>
        <v>272.152263374486</v>
      </c>
      <c r="R175" s="1">
        <v>265103.982</v>
      </c>
      <c r="S175">
        <v>2075200</v>
      </c>
      <c r="T175">
        <v>127748.64206</v>
      </c>
    </row>
    <row r="176" spans="1:20">
      <c r="A176">
        <v>2025</v>
      </c>
      <c r="B176" t="s">
        <v>34</v>
      </c>
      <c r="C176">
        <v>91.64</v>
      </c>
      <c r="D176">
        <v>604.37</v>
      </c>
      <c r="E176">
        <f t="shared" si="20"/>
        <v>604370</v>
      </c>
      <c r="F176">
        <f t="shared" si="21"/>
        <v>6595.04583151462</v>
      </c>
      <c r="G176">
        <v>1</v>
      </c>
      <c r="H176">
        <v>0</v>
      </c>
      <c r="I176" s="4">
        <v>1</v>
      </c>
      <c r="J176" s="2">
        <f t="shared" si="22"/>
        <v>2</v>
      </c>
      <c r="K176" s="2">
        <f t="shared" si="23"/>
        <v>0.0218245307725884</v>
      </c>
      <c r="L176" s="2">
        <v>0.814</v>
      </c>
      <c r="M176">
        <v>82.67</v>
      </c>
      <c r="N176">
        <v>2298</v>
      </c>
      <c r="O176" s="5">
        <v>98.23</v>
      </c>
      <c r="P176">
        <f t="shared" si="24"/>
        <v>2396.23</v>
      </c>
      <c r="Q176">
        <f t="shared" si="25"/>
        <v>26.1482976865997</v>
      </c>
      <c r="R176" s="1">
        <v>8700.231</v>
      </c>
      <c r="S176" s="4">
        <v>100900</v>
      </c>
      <c r="T176">
        <v>86226.27354</v>
      </c>
    </row>
    <row r="177" spans="1:20">
      <c r="A177">
        <v>2025</v>
      </c>
      <c r="B177" t="s">
        <v>35</v>
      </c>
      <c r="C177">
        <v>49</v>
      </c>
      <c r="D177">
        <v>3146.484</v>
      </c>
      <c r="E177">
        <f t="shared" si="20"/>
        <v>3146484</v>
      </c>
      <c r="F177">
        <f t="shared" si="21"/>
        <v>64213.9591836735</v>
      </c>
      <c r="G177">
        <v>0</v>
      </c>
      <c r="H177">
        <v>0</v>
      </c>
      <c r="I177">
        <v>1</v>
      </c>
      <c r="J177" s="2">
        <f t="shared" si="22"/>
        <v>1</v>
      </c>
      <c r="K177" s="2">
        <f t="shared" si="23"/>
        <v>0.0204081632653061</v>
      </c>
      <c r="L177" s="2">
        <v>0.4053</v>
      </c>
      <c r="M177">
        <v>74.17</v>
      </c>
      <c r="N177">
        <v>2656</v>
      </c>
      <c r="O177" s="5">
        <v>0</v>
      </c>
      <c r="P177">
        <f t="shared" si="24"/>
        <v>2656</v>
      </c>
      <c r="Q177">
        <f t="shared" si="25"/>
        <v>54.2040816326531</v>
      </c>
      <c r="R177" s="1">
        <v>14365.914</v>
      </c>
      <c r="S177" s="4">
        <v>120700</v>
      </c>
      <c r="T177">
        <v>119021.657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Zi Jenn</dc:creator>
  <cp:lastModifiedBy>Ge Zi Jenn</cp:lastModifiedBy>
  <dcterms:created xsi:type="dcterms:W3CDTF">2026-09-11T02:43:00Z</dcterms:created>
  <dcterms:modified xsi:type="dcterms:W3CDTF">2026-09-14T05:02:00Z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5C42B8FE96394FA19D481CD894CD5D04_11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